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Godwi\Downloads\"/>
    </mc:Choice>
  </mc:AlternateContent>
  <xr:revisionPtr revIDLastSave="0" documentId="8_{0A4BA619-04AE-4E75-AD2B-3ACCA11D7FF6}" xr6:coauthVersionLast="47" xr6:coauthVersionMax="47" xr10:uidLastSave="{00000000-0000-0000-0000-000000000000}"/>
  <bookViews>
    <workbookView xWindow="-110" yWindow="-110" windowWidth="23260" windowHeight="14860" activeTab="4" xr2:uid="{00000000-000D-0000-FFFF-FFFF00000000}"/>
  </bookViews>
  <sheets>
    <sheet name="Cover Page" sheetId="2" r:id="rId1"/>
    <sheet name="Data Backup" sheetId="3" r:id="rId2"/>
    <sheet name="Calc" sheetId="9" r:id="rId3"/>
    <sheet name="Data" sheetId="1" r:id="rId4"/>
    <sheet name="Dashboard" sheetId="7" r:id="rId5"/>
  </sheets>
  <definedNames>
    <definedName name="Slicer_category">#N/A</definedName>
    <definedName name="Slicer_country">#N/A</definedName>
    <definedName name="Slicer_gender">#N/A</definedName>
    <definedName name="Slicer_selfMade">#N/A</definedName>
  </definedNames>
  <calcPr calcId="191029"/>
  <pivotCaches>
    <pivotCache cacheId="50"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J129" i="1" s="1"/>
  <c r="W130" i="1"/>
  <c r="W131" i="1"/>
  <c r="W132" i="1"/>
  <c r="W133" i="1"/>
  <c r="W134" i="1"/>
  <c r="W135" i="1"/>
  <c r="W136" i="1"/>
  <c r="W137" i="1"/>
  <c r="W138" i="1"/>
  <c r="W139" i="1"/>
  <c r="J139" i="1" s="1"/>
  <c r="W140" i="1"/>
  <c r="W141" i="1"/>
  <c r="W142" i="1"/>
  <c r="W143" i="1"/>
  <c r="W144" i="1"/>
  <c r="W145" i="1"/>
  <c r="W146" i="1"/>
  <c r="W147" i="1"/>
  <c r="W148" i="1"/>
  <c r="W149" i="1"/>
  <c r="J149" i="1" s="1"/>
  <c r="W150" i="1"/>
  <c r="W151" i="1"/>
  <c r="W152" i="1"/>
  <c r="W153" i="1"/>
  <c r="W154" i="1"/>
  <c r="W155" i="1"/>
  <c r="W156" i="1"/>
  <c r="W157" i="1"/>
  <c r="W158" i="1"/>
  <c r="W159" i="1"/>
  <c r="J159" i="1" s="1"/>
  <c r="W160" i="1"/>
  <c r="W161" i="1"/>
  <c r="W162" i="1"/>
  <c r="W163" i="1"/>
  <c r="W164" i="1"/>
  <c r="W165" i="1"/>
  <c r="W166" i="1"/>
  <c r="W167" i="1"/>
  <c r="W168" i="1"/>
  <c r="W169" i="1"/>
  <c r="J169" i="1" s="1"/>
  <c r="W170" i="1"/>
  <c r="W171" i="1"/>
  <c r="W172" i="1"/>
  <c r="W173" i="1"/>
  <c r="W174" i="1"/>
  <c r="W175" i="1"/>
  <c r="W176" i="1"/>
  <c r="W177" i="1"/>
  <c r="W178" i="1"/>
  <c r="W179" i="1"/>
  <c r="W180" i="1"/>
  <c r="W181" i="1"/>
  <c r="W182" i="1"/>
  <c r="W183" i="1"/>
  <c r="W184" i="1"/>
  <c r="W185" i="1"/>
  <c r="W186" i="1"/>
  <c r="W187" i="1"/>
  <c r="W188" i="1"/>
  <c r="W189" i="1"/>
  <c r="J189" i="1" s="1"/>
  <c r="W190" i="1"/>
  <c r="W191" i="1"/>
  <c r="W192" i="1"/>
  <c r="W193" i="1"/>
  <c r="W194" i="1"/>
  <c r="W195" i="1"/>
  <c r="W196" i="1"/>
  <c r="W197" i="1"/>
  <c r="W198" i="1"/>
  <c r="W199" i="1"/>
  <c r="J199" i="1" s="1"/>
  <c r="W200" i="1"/>
  <c r="W201" i="1"/>
  <c r="W202" i="1"/>
  <c r="W203" i="1"/>
  <c r="W204" i="1"/>
  <c r="W205" i="1"/>
  <c r="W206" i="1"/>
  <c r="W207" i="1"/>
  <c r="W208" i="1"/>
  <c r="W209" i="1"/>
  <c r="J209" i="1" s="1"/>
  <c r="W210" i="1"/>
  <c r="J210" i="1" s="1"/>
  <c r="W211" i="1"/>
  <c r="W212" i="1"/>
  <c r="W213" i="1"/>
  <c r="W214" i="1"/>
  <c r="W215" i="1"/>
  <c r="W216" i="1"/>
  <c r="W217" i="1"/>
  <c r="W218" i="1"/>
  <c r="W219" i="1"/>
  <c r="J219" i="1" s="1"/>
  <c r="W220" i="1"/>
  <c r="J220" i="1" s="1"/>
  <c r="W221" i="1"/>
  <c r="W222" i="1"/>
  <c r="W223" i="1"/>
  <c r="W224" i="1"/>
  <c r="W225" i="1"/>
  <c r="W226" i="1"/>
  <c r="W227" i="1"/>
  <c r="W228" i="1"/>
  <c r="W229" i="1"/>
  <c r="J229" i="1" s="1"/>
  <c r="W230" i="1"/>
  <c r="J230" i="1" s="1"/>
  <c r="W231" i="1"/>
  <c r="W232" i="1"/>
  <c r="W233" i="1"/>
  <c r="W234" i="1"/>
  <c r="W235" i="1"/>
  <c r="W236" i="1"/>
  <c r="W237" i="1"/>
  <c r="W238" i="1"/>
  <c r="W239" i="1"/>
  <c r="J239" i="1" s="1"/>
  <c r="W240" i="1"/>
  <c r="J240" i="1" s="1"/>
  <c r="W241" i="1"/>
  <c r="W242" i="1"/>
  <c r="W243" i="1"/>
  <c r="W244" i="1"/>
  <c r="W245" i="1"/>
  <c r="W246" i="1"/>
  <c r="W247" i="1"/>
  <c r="W248" i="1"/>
  <c r="W249" i="1"/>
  <c r="J249" i="1" s="1"/>
  <c r="W250" i="1"/>
  <c r="J250" i="1" s="1"/>
  <c r="W251" i="1"/>
  <c r="W252" i="1"/>
  <c r="W253" i="1"/>
  <c r="W254" i="1"/>
  <c r="W255" i="1"/>
  <c r="W256" i="1"/>
  <c r="W257" i="1"/>
  <c r="W258" i="1"/>
  <c r="W259" i="1"/>
  <c r="J259" i="1" s="1"/>
  <c r="W260" i="1"/>
  <c r="J260" i="1" s="1"/>
  <c r="W261" i="1"/>
  <c r="W262" i="1"/>
  <c r="W263" i="1"/>
  <c r="W264" i="1"/>
  <c r="W265" i="1"/>
  <c r="W266" i="1"/>
  <c r="W267" i="1"/>
  <c r="W268" i="1"/>
  <c r="W269" i="1"/>
  <c r="J269" i="1" s="1"/>
  <c r="W270" i="1"/>
  <c r="J270" i="1" s="1"/>
  <c r="W271" i="1"/>
  <c r="W272" i="1"/>
  <c r="W273" i="1"/>
  <c r="W274" i="1"/>
  <c r="W275" i="1"/>
  <c r="W276" i="1"/>
  <c r="W277" i="1"/>
  <c r="W278" i="1"/>
  <c r="W279" i="1"/>
  <c r="J279" i="1" s="1"/>
  <c r="W280" i="1"/>
  <c r="J280" i="1" s="1"/>
  <c r="W281" i="1"/>
  <c r="W282" i="1"/>
  <c r="W283" i="1"/>
  <c r="W284" i="1"/>
  <c r="W285" i="1"/>
  <c r="W286" i="1"/>
  <c r="W287" i="1"/>
  <c r="W288" i="1"/>
  <c r="W289" i="1"/>
  <c r="W290" i="1"/>
  <c r="J290" i="1" s="1"/>
  <c r="W291" i="1"/>
  <c r="W292" i="1"/>
  <c r="W293" i="1"/>
  <c r="W294" i="1"/>
  <c r="W295" i="1"/>
  <c r="W296" i="1"/>
  <c r="W297" i="1"/>
  <c r="W298" i="1"/>
  <c r="W299" i="1"/>
  <c r="J299" i="1" s="1"/>
  <c r="W300" i="1"/>
  <c r="J300" i="1" s="1"/>
  <c r="W301" i="1"/>
  <c r="W302" i="1"/>
  <c r="W303" i="1"/>
  <c r="W304" i="1"/>
  <c r="W305" i="1"/>
  <c r="W306" i="1"/>
  <c r="W307" i="1"/>
  <c r="W308" i="1"/>
  <c r="W309" i="1"/>
  <c r="W310" i="1"/>
  <c r="J310" i="1" s="1"/>
  <c r="W311" i="1"/>
  <c r="W312" i="1"/>
  <c r="W313" i="1"/>
  <c r="W314" i="1"/>
  <c r="W315" i="1"/>
  <c r="W316" i="1"/>
  <c r="W317" i="1"/>
  <c r="W318" i="1"/>
  <c r="W319" i="1"/>
  <c r="J319" i="1" s="1"/>
  <c r="W320" i="1"/>
  <c r="J320" i="1" s="1"/>
  <c r="W321" i="1"/>
  <c r="W322" i="1"/>
  <c r="W323" i="1"/>
  <c r="W324" i="1"/>
  <c r="W325" i="1"/>
  <c r="W326" i="1"/>
  <c r="W327" i="1"/>
  <c r="W328" i="1"/>
  <c r="W329" i="1"/>
  <c r="J329" i="1" s="1"/>
  <c r="W330" i="1"/>
  <c r="J330" i="1" s="1"/>
  <c r="W331" i="1"/>
  <c r="W332" i="1"/>
  <c r="W333" i="1"/>
  <c r="W334" i="1"/>
  <c r="W335" i="1"/>
  <c r="W336" i="1"/>
  <c r="W337" i="1"/>
  <c r="W338" i="1"/>
  <c r="W339" i="1"/>
  <c r="W340" i="1"/>
  <c r="J340" i="1" s="1"/>
  <c r="W341" i="1"/>
  <c r="W342" i="1"/>
  <c r="W343" i="1"/>
  <c r="W344" i="1"/>
  <c r="W345" i="1"/>
  <c r="W346" i="1"/>
  <c r="W347" i="1"/>
  <c r="W348" i="1"/>
  <c r="W349" i="1"/>
  <c r="J349" i="1" s="1"/>
  <c r="W350" i="1"/>
  <c r="J350" i="1" s="1"/>
  <c r="W351" i="1"/>
  <c r="W352" i="1"/>
  <c r="W353" i="1"/>
  <c r="W354" i="1"/>
  <c r="W355" i="1"/>
  <c r="W356" i="1"/>
  <c r="W357" i="1"/>
  <c r="W358" i="1"/>
  <c r="W359" i="1"/>
  <c r="J359" i="1" s="1"/>
  <c r="W360" i="1"/>
  <c r="J360" i="1" s="1"/>
  <c r="W361" i="1"/>
  <c r="W362" i="1"/>
  <c r="W363" i="1"/>
  <c r="W364" i="1"/>
  <c r="W365" i="1"/>
  <c r="W366" i="1"/>
  <c r="W367" i="1"/>
  <c r="W368" i="1"/>
  <c r="W369" i="1"/>
  <c r="W370" i="1"/>
  <c r="J370" i="1" s="1"/>
  <c r="W371" i="1"/>
  <c r="W372" i="1"/>
  <c r="W373" i="1"/>
  <c r="W374" i="1"/>
  <c r="W375" i="1"/>
  <c r="W376" i="1"/>
  <c r="W377" i="1"/>
  <c r="W378" i="1"/>
  <c r="W379" i="1"/>
  <c r="J379" i="1" s="1"/>
  <c r="W380" i="1"/>
  <c r="J380" i="1" s="1"/>
  <c r="W381" i="1"/>
  <c r="W382" i="1"/>
  <c r="W383" i="1"/>
  <c r="W384" i="1"/>
  <c r="W385" i="1"/>
  <c r="W386" i="1"/>
  <c r="W387" i="1"/>
  <c r="W388" i="1"/>
  <c r="W389" i="1"/>
  <c r="J389" i="1" s="1"/>
  <c r="W390" i="1"/>
  <c r="J390" i="1" s="1"/>
  <c r="W391" i="1"/>
  <c r="W392" i="1"/>
  <c r="W393" i="1"/>
  <c r="W394" i="1"/>
  <c r="W395" i="1"/>
  <c r="W396" i="1"/>
  <c r="W397" i="1"/>
  <c r="W398" i="1"/>
  <c r="W399" i="1"/>
  <c r="J399" i="1" s="1"/>
  <c r="W400" i="1"/>
  <c r="J400" i="1" s="1"/>
  <c r="W401" i="1"/>
  <c r="W402" i="1"/>
  <c r="W403" i="1"/>
  <c r="W404" i="1"/>
  <c r="W405" i="1"/>
  <c r="W406" i="1"/>
  <c r="W407" i="1"/>
  <c r="W408" i="1"/>
  <c r="W409" i="1"/>
  <c r="J409" i="1" s="1"/>
  <c r="W410" i="1"/>
  <c r="J410" i="1" s="1"/>
  <c r="W411" i="1"/>
  <c r="W412" i="1"/>
  <c r="W413" i="1"/>
  <c r="W414" i="1"/>
  <c r="W415" i="1"/>
  <c r="W416" i="1"/>
  <c r="W417" i="1"/>
  <c r="W418" i="1"/>
  <c r="W419" i="1"/>
  <c r="W420" i="1"/>
  <c r="J420" i="1" s="1"/>
  <c r="W421" i="1"/>
  <c r="W422" i="1"/>
  <c r="W423" i="1"/>
  <c r="W424" i="1"/>
  <c r="W425" i="1"/>
  <c r="W426" i="1"/>
  <c r="W427" i="1"/>
  <c r="W428" i="1"/>
  <c r="W429" i="1"/>
  <c r="J429" i="1" s="1"/>
  <c r="W430" i="1"/>
  <c r="J430" i="1" s="1"/>
  <c r="W431" i="1"/>
  <c r="W432" i="1"/>
  <c r="W433" i="1"/>
  <c r="W434" i="1"/>
  <c r="W435" i="1"/>
  <c r="W436" i="1"/>
  <c r="W437" i="1"/>
  <c r="W438" i="1"/>
  <c r="W439" i="1"/>
  <c r="J439" i="1" s="1"/>
  <c r="W440" i="1"/>
  <c r="J440" i="1" s="1"/>
  <c r="W441" i="1"/>
  <c r="W442" i="1"/>
  <c r="W443" i="1"/>
  <c r="W444" i="1"/>
  <c r="W445" i="1"/>
  <c r="W446" i="1"/>
  <c r="W447" i="1"/>
  <c r="W448" i="1"/>
  <c r="W449" i="1"/>
  <c r="J449" i="1" s="1"/>
  <c r="W450" i="1"/>
  <c r="J450" i="1" s="1"/>
  <c r="W451" i="1"/>
  <c r="W452" i="1"/>
  <c r="W453" i="1"/>
  <c r="W454" i="1"/>
  <c r="W455" i="1"/>
  <c r="W456" i="1"/>
  <c r="W457" i="1"/>
  <c r="W458" i="1"/>
  <c r="W459" i="1"/>
  <c r="W460" i="1"/>
  <c r="J460" i="1" s="1"/>
  <c r="W461" i="1"/>
  <c r="W462" i="1"/>
  <c r="W463" i="1"/>
  <c r="W464" i="1"/>
  <c r="W465" i="1"/>
  <c r="W466" i="1"/>
  <c r="W467" i="1"/>
  <c r="W468" i="1"/>
  <c r="W469" i="1"/>
  <c r="J469" i="1" s="1"/>
  <c r="W470" i="1"/>
  <c r="J470" i="1" s="1"/>
  <c r="W471" i="1"/>
  <c r="W472" i="1"/>
  <c r="W473" i="1"/>
  <c r="W474" i="1"/>
  <c r="W475" i="1"/>
  <c r="W476" i="1"/>
  <c r="W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2" i="1"/>
  <c r="J471" i="1" l="1"/>
  <c r="J461" i="1"/>
  <c r="J451" i="1"/>
  <c r="J441" i="1"/>
  <c r="J431" i="1"/>
  <c r="J421" i="1"/>
  <c r="J411" i="1"/>
  <c r="J401" i="1"/>
  <c r="J459" i="1"/>
  <c r="J419" i="1"/>
  <c r="J369" i="1"/>
  <c r="J339" i="1"/>
  <c r="J309" i="1"/>
  <c r="J289" i="1"/>
  <c r="J179" i="1"/>
  <c r="J119" i="1"/>
  <c r="J109" i="1"/>
  <c r="J99" i="1"/>
  <c r="J89" i="1"/>
  <c r="J79" i="1"/>
  <c r="J69" i="1"/>
  <c r="J59" i="1"/>
  <c r="J49" i="1"/>
  <c r="J39" i="1"/>
  <c r="J29" i="1"/>
  <c r="J19" i="1"/>
  <c r="J472" i="1"/>
  <c r="J462" i="1"/>
  <c r="J452" i="1"/>
  <c r="J442" i="1"/>
  <c r="J432" i="1"/>
  <c r="J422" i="1"/>
  <c r="J412" i="1"/>
  <c r="J200" i="1"/>
  <c r="J190" i="1"/>
  <c r="J180" i="1"/>
  <c r="J170" i="1"/>
  <c r="J160" i="1"/>
  <c r="J150" i="1"/>
  <c r="J140" i="1"/>
  <c r="J130" i="1"/>
  <c r="J120" i="1"/>
  <c r="J110" i="1"/>
  <c r="J100" i="1"/>
  <c r="J90" i="1"/>
  <c r="J80" i="1"/>
  <c r="J402" i="1"/>
  <c r="J392" i="1"/>
  <c r="J372" i="1"/>
  <c r="J362" i="1"/>
  <c r="J342" i="1"/>
  <c r="J332" i="1"/>
  <c r="J322" i="1"/>
  <c r="J312" i="1"/>
  <c r="J302" i="1"/>
  <c r="J292" i="1"/>
  <c r="J272" i="1"/>
  <c r="J262" i="1"/>
  <c r="J252" i="1"/>
  <c r="J242" i="1"/>
  <c r="J232" i="1"/>
  <c r="J222" i="1"/>
  <c r="J212" i="1"/>
  <c r="J202" i="1"/>
  <c r="J192" i="1"/>
  <c r="J391" i="1"/>
  <c r="J9" i="1"/>
  <c r="J473" i="1"/>
  <c r="J463" i="1"/>
  <c r="J453" i="1"/>
  <c r="J443" i="1"/>
  <c r="J433" i="1"/>
  <c r="J423" i="1"/>
  <c r="J413" i="1"/>
  <c r="J403" i="1"/>
  <c r="J382" i="1"/>
  <c r="J352" i="1"/>
  <c r="J282" i="1"/>
  <c r="J182" i="1"/>
  <c r="J172" i="1"/>
  <c r="J162" i="1"/>
  <c r="J152" i="1"/>
  <c r="J142" i="1"/>
  <c r="J132" i="1"/>
  <c r="J122" i="1"/>
  <c r="J112" i="1"/>
  <c r="J102" i="1"/>
  <c r="J92" i="1"/>
  <c r="J82" i="1"/>
  <c r="J72" i="1"/>
  <c r="J62" i="1"/>
  <c r="J52" i="1"/>
  <c r="J42" i="1"/>
  <c r="J32" i="1"/>
  <c r="J22" i="1"/>
  <c r="J393" i="1"/>
  <c r="J12" i="1"/>
  <c r="J371" i="1"/>
  <c r="J341" i="1"/>
  <c r="J331" i="1"/>
  <c r="J321" i="1"/>
  <c r="J311" i="1"/>
  <c r="J301" i="1"/>
  <c r="J291" i="1"/>
  <c r="J281" i="1"/>
  <c r="J271" i="1"/>
  <c r="J261" i="1"/>
  <c r="J251" i="1"/>
  <c r="J241" i="1"/>
  <c r="J231" i="1"/>
  <c r="J221" i="1"/>
  <c r="J211" i="1"/>
  <c r="J201" i="1"/>
  <c r="J191" i="1"/>
  <c r="J181" i="1"/>
  <c r="J171" i="1"/>
  <c r="J161" i="1"/>
  <c r="J151" i="1"/>
  <c r="J141" i="1"/>
  <c r="J131" i="1"/>
  <c r="J121" i="1"/>
  <c r="J111" i="1"/>
  <c r="J101" i="1"/>
  <c r="J91" i="1"/>
  <c r="J81" i="1"/>
  <c r="J71" i="1"/>
  <c r="J61" i="1"/>
  <c r="J51" i="1"/>
  <c r="J41" i="1"/>
  <c r="J31" i="1"/>
  <c r="J21" i="1"/>
  <c r="J11" i="1"/>
  <c r="J381" i="1"/>
  <c r="J361" i="1"/>
  <c r="J351" i="1"/>
  <c r="J70" i="1"/>
  <c r="J60" i="1"/>
  <c r="J50" i="1"/>
  <c r="J40" i="1"/>
  <c r="J30" i="1"/>
  <c r="J20" i="1"/>
  <c r="J10" i="1"/>
  <c r="J468" i="1"/>
  <c r="J458" i="1"/>
  <c r="J448" i="1"/>
  <c r="J438" i="1"/>
  <c r="J428" i="1"/>
  <c r="J418" i="1"/>
  <c r="J408" i="1"/>
  <c r="J398" i="1"/>
  <c r="J388" i="1"/>
  <c r="J378" i="1"/>
  <c r="J368" i="1"/>
  <c r="J358" i="1"/>
  <c r="J348" i="1"/>
  <c r="J338" i="1"/>
  <c r="J328" i="1"/>
  <c r="J318" i="1"/>
  <c r="J308" i="1"/>
  <c r="J298" i="1"/>
  <c r="J288" i="1"/>
  <c r="J278" i="1"/>
  <c r="J268" i="1"/>
  <c r="J258" i="1"/>
  <c r="J248" i="1"/>
  <c r="J238" i="1"/>
  <c r="J228" i="1"/>
  <c r="J218" i="1"/>
  <c r="J208" i="1"/>
  <c r="J198" i="1"/>
  <c r="J188" i="1"/>
  <c r="J178" i="1"/>
  <c r="J168" i="1"/>
  <c r="J158" i="1"/>
  <c r="J148" i="1"/>
  <c r="J138" i="1"/>
  <c r="J128" i="1"/>
  <c r="J118" i="1"/>
  <c r="J108" i="1"/>
  <c r="J98" i="1"/>
  <c r="J88" i="1"/>
  <c r="J78" i="1"/>
  <c r="J68" i="1"/>
  <c r="J58" i="1"/>
  <c r="J48" i="1"/>
  <c r="J38" i="1"/>
  <c r="J28" i="1"/>
  <c r="J18" i="1"/>
  <c r="J8" i="1"/>
  <c r="J2" i="1"/>
  <c r="J467" i="1"/>
  <c r="J457" i="1"/>
  <c r="J447" i="1"/>
  <c r="J437" i="1"/>
  <c r="J427" i="1"/>
  <c r="J417" i="1"/>
  <c r="J407" i="1"/>
  <c r="J397" i="1"/>
  <c r="J387" i="1"/>
  <c r="J377" i="1"/>
  <c r="J367" i="1"/>
  <c r="J357" i="1"/>
  <c r="J347" i="1"/>
  <c r="J337" i="1"/>
  <c r="J327" i="1"/>
  <c r="J317" i="1"/>
  <c r="J307" i="1"/>
  <c r="J297" i="1"/>
  <c r="J287" i="1"/>
  <c r="J277" i="1"/>
  <c r="J267" i="1"/>
  <c r="J257" i="1"/>
  <c r="J247" i="1"/>
  <c r="J237" i="1"/>
  <c r="J227" i="1"/>
  <c r="J217" i="1"/>
  <c r="J207" i="1"/>
  <c r="J197" i="1"/>
  <c r="J187" i="1"/>
  <c r="J177" i="1"/>
  <c r="J167" i="1"/>
  <c r="J157" i="1"/>
  <c r="J147" i="1"/>
  <c r="J137" i="1"/>
  <c r="J127" i="1"/>
  <c r="J117" i="1"/>
  <c r="J107" i="1"/>
  <c r="J97" i="1"/>
  <c r="J87" i="1"/>
  <c r="J77" i="1"/>
  <c r="J67" i="1"/>
  <c r="J57" i="1"/>
  <c r="J47" i="1"/>
  <c r="J37" i="1"/>
  <c r="J27" i="1"/>
  <c r="J17" i="1"/>
  <c r="J7" i="1"/>
  <c r="J426" i="1"/>
  <c r="J386" i="1"/>
  <c r="J366" i="1"/>
  <c r="J326" i="1"/>
  <c r="J286" i="1"/>
  <c r="J276" i="1"/>
  <c r="J266" i="1"/>
  <c r="J256" i="1"/>
  <c r="J246" i="1"/>
  <c r="J236" i="1"/>
  <c r="J226" i="1"/>
  <c r="J216" i="1"/>
  <c r="J206" i="1"/>
  <c r="J196" i="1"/>
  <c r="J186" i="1"/>
  <c r="J176" i="1"/>
  <c r="J166" i="1"/>
  <c r="J156" i="1"/>
  <c r="J146" i="1"/>
  <c r="J136" i="1"/>
  <c r="J126" i="1"/>
  <c r="J116" i="1"/>
  <c r="J106" i="1"/>
  <c r="J96" i="1"/>
  <c r="J86" i="1"/>
  <c r="J76" i="1"/>
  <c r="J66" i="1"/>
  <c r="J56" i="1"/>
  <c r="J46" i="1"/>
  <c r="J36" i="1"/>
  <c r="J26" i="1"/>
  <c r="J16" i="1"/>
  <c r="J6" i="1"/>
  <c r="J466" i="1"/>
  <c r="J446" i="1"/>
  <c r="J396" i="1"/>
  <c r="J316" i="1"/>
  <c r="J455" i="1"/>
  <c r="J425" i="1"/>
  <c r="J125" i="1"/>
  <c r="J115" i="1"/>
  <c r="J105" i="1"/>
  <c r="J95" i="1"/>
  <c r="J85" i="1"/>
  <c r="J75" i="1"/>
  <c r="J65" i="1"/>
  <c r="J55" i="1"/>
  <c r="J45" i="1"/>
  <c r="J35" i="1"/>
  <c r="J25" i="1"/>
  <c r="J15" i="1"/>
  <c r="J5" i="1"/>
  <c r="J476" i="1"/>
  <c r="J456" i="1"/>
  <c r="J436" i="1"/>
  <c r="J406" i="1"/>
  <c r="J376" i="1"/>
  <c r="J356" i="1"/>
  <c r="J336" i="1"/>
  <c r="J306" i="1"/>
  <c r="J375" i="1"/>
  <c r="J355" i="1"/>
  <c r="J345" i="1"/>
  <c r="J335" i="1"/>
  <c r="J325" i="1"/>
  <c r="J315" i="1"/>
  <c r="J305" i="1"/>
  <c r="J285" i="1"/>
  <c r="J275" i="1"/>
  <c r="J265" i="1"/>
  <c r="J255" i="1"/>
  <c r="J245" i="1"/>
  <c r="J235" i="1"/>
  <c r="J225" i="1"/>
  <c r="J215" i="1"/>
  <c r="J205" i="1"/>
  <c r="J195" i="1"/>
  <c r="J185" i="1"/>
  <c r="J175" i="1"/>
  <c r="J165" i="1"/>
  <c r="J155" i="1"/>
  <c r="J145" i="1"/>
  <c r="J135" i="1"/>
  <c r="J474" i="1"/>
  <c r="J464" i="1"/>
  <c r="J454" i="1"/>
  <c r="J444" i="1"/>
  <c r="J434" i="1"/>
  <c r="J424" i="1"/>
  <c r="J414" i="1"/>
  <c r="J404" i="1"/>
  <c r="J394" i="1"/>
  <c r="J384" i="1"/>
  <c r="J374" i="1"/>
  <c r="J364" i="1"/>
  <c r="J354" i="1"/>
  <c r="J344" i="1"/>
  <c r="J334" i="1"/>
  <c r="J324" i="1"/>
  <c r="J314" i="1"/>
  <c r="J304" i="1"/>
  <c r="J294" i="1"/>
  <c r="J284" i="1"/>
  <c r="J274" i="1"/>
  <c r="J264" i="1"/>
  <c r="J254" i="1"/>
  <c r="J244" i="1"/>
  <c r="J234" i="1"/>
  <c r="J224" i="1"/>
  <c r="J214" i="1"/>
  <c r="J204" i="1"/>
  <c r="J194" i="1"/>
  <c r="J184" i="1"/>
  <c r="J174" i="1"/>
  <c r="J164" i="1"/>
  <c r="J154" i="1"/>
  <c r="J144" i="1"/>
  <c r="J134" i="1"/>
  <c r="J124" i="1"/>
  <c r="J114" i="1"/>
  <c r="J104" i="1"/>
  <c r="J94" i="1"/>
  <c r="J84" i="1"/>
  <c r="J74" i="1"/>
  <c r="J64" i="1"/>
  <c r="J54" i="1"/>
  <c r="J44" i="1"/>
  <c r="J34" i="1"/>
  <c r="J24" i="1"/>
  <c r="J14" i="1"/>
  <c r="J4" i="1"/>
  <c r="J416" i="1"/>
  <c r="J346" i="1"/>
  <c r="J296" i="1"/>
  <c r="J475" i="1"/>
  <c r="J465" i="1"/>
  <c r="J445" i="1"/>
  <c r="J435" i="1"/>
  <c r="J415" i="1"/>
  <c r="J405" i="1"/>
  <c r="J395" i="1"/>
  <c r="J385" i="1"/>
  <c r="J365" i="1"/>
  <c r="J295" i="1"/>
  <c r="J383" i="1"/>
  <c r="J373" i="1"/>
  <c r="J363" i="1"/>
  <c r="J353" i="1"/>
  <c r="J343" i="1"/>
  <c r="J333" i="1"/>
  <c r="J323" i="1"/>
  <c r="J313" i="1"/>
  <c r="J303" i="1"/>
  <c r="J293" i="1"/>
  <c r="J283" i="1"/>
  <c r="J273" i="1"/>
  <c r="J263" i="1"/>
  <c r="J253" i="1"/>
  <c r="J243" i="1"/>
  <c r="J233" i="1"/>
  <c r="J223" i="1"/>
  <c r="J213" i="1"/>
  <c r="J203" i="1"/>
  <c r="J193" i="1"/>
  <c r="J183" i="1"/>
  <c r="J173" i="1"/>
  <c r="J163" i="1"/>
  <c r="J153" i="1"/>
  <c r="J143" i="1"/>
  <c r="J133" i="1"/>
  <c r="J123" i="1"/>
  <c r="J113" i="1"/>
  <c r="J103" i="1"/>
  <c r="J93" i="1"/>
  <c r="J83" i="1"/>
  <c r="J73" i="1"/>
  <c r="J63" i="1"/>
  <c r="J53" i="1"/>
  <c r="J43" i="1"/>
  <c r="J33" i="1"/>
  <c r="J23" i="1"/>
  <c r="J13" i="1"/>
  <c r="J3" i="1"/>
</calcChain>
</file>

<file path=xl/sharedStrings.xml><?xml version="1.0" encoding="utf-8"?>
<sst xmlns="http://schemas.openxmlformats.org/spreadsheetml/2006/main" count="8707" uniqueCount="1828">
  <si>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</si>
  <si>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</si>
  <si>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</si>
  <si>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</si>
  <si>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</si>
  <si>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</si>
  <si>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</si>
  <si>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</si>
  <si>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</si>
  <si>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</si>
  <si>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</si>
  <si>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</si>
  <si>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</si>
  <si>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</si>
  <si>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</si>
  <si>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</si>
  <si>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</si>
  <si>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</si>
  <si>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</si>
  <si>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</si>
  <si>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</si>
  <si>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</si>
  <si>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</si>
  <si>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</si>
  <si>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</si>
  <si>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</si>
  <si>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</si>
  <si>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</si>
  <si>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</si>
  <si>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</si>
  <si>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</si>
  <si>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</si>
  <si>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</si>
  <si>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</si>
  <si>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</si>
  <si>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</si>
  <si>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</si>
  <si>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</si>
  <si>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</si>
  <si>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</si>
  <si>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</si>
  <si>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</si>
  <si>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</si>
  <si>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</si>
  <si>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</si>
  <si>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</si>
  <si>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</si>
  <si>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</si>
  <si>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</si>
  <si>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</si>
  <si>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</si>
  <si>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</si>
  <si>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</si>
  <si>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</si>
  <si>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</si>
  <si>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</si>
  <si>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</si>
  <si>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</si>
  <si>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</si>
  <si>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</si>
  <si>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</si>
  <si>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</si>
  <si>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</si>
  <si>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</si>
  <si>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</si>
  <si>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</si>
  <si>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</si>
  <si>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</si>
  <si>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</si>
  <si>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</si>
  <si>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</si>
  <si>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</si>
  <si>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</si>
  <si>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</si>
  <si>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</si>
  <si>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</si>
  <si>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</si>
  <si>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</si>
  <si>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</si>
  <si>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</si>
  <si>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</si>
  <si>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</si>
  <si>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</si>
  <si>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</si>
  <si>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</si>
  <si>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</si>
  <si>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</si>
  <si>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</si>
  <si>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</si>
  <si>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</si>
  <si>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</si>
  <si>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</si>
  <si>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</si>
  <si>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</si>
  <si>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</si>
  <si>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</si>
  <si>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</si>
  <si>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</si>
  <si>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</si>
  <si>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</si>
  <si>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</si>
  <si>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</si>
  <si>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</si>
  <si>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</si>
  <si>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</si>
  <si>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</si>
  <si>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</si>
  <si>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</si>
  <si>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</si>
  <si>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</si>
  <si>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</si>
  <si>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</si>
  <si>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</si>
  <si>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</si>
  <si>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</si>
  <si>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</si>
  <si>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</si>
  <si>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</si>
  <si>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</si>
  <si>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</si>
  <si>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</si>
  <si>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</si>
  <si>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</si>
  <si>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</si>
  <si>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</si>
  <si>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</si>
  <si>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</si>
  <si>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</si>
  <si>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</si>
  <si>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</si>
  <si>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</si>
  <si>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</si>
  <si>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</si>
  <si>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</si>
  <si>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</si>
  <si>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</si>
  <si>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</si>
  <si>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</si>
  <si>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</si>
  <si>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</si>
  <si>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</si>
  <si>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</si>
  <si>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</si>
  <si>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</si>
  <si>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</si>
  <si>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</si>
  <si>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</si>
  <si>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</si>
  <si>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</si>
  <si>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</si>
  <si>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</si>
  <si>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</si>
  <si>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</si>
  <si>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</si>
  <si>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</si>
  <si>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</si>
  <si>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</si>
  <si>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</si>
  <si>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</si>
  <si>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</si>
  <si>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</si>
  <si>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</si>
  <si>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</si>
  <si>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</si>
  <si>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</si>
  <si>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</si>
  <si>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</si>
  <si>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</si>
  <si>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</si>
  <si>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</si>
  <si>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</si>
  <si>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</si>
  <si>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</si>
  <si>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</si>
  <si>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</si>
  <si>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</si>
  <si>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</si>
  <si>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</si>
  <si>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</si>
  <si>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</si>
  <si>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</si>
  <si>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</si>
  <si>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</si>
  <si>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</si>
  <si>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</si>
  <si>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</si>
  <si>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</si>
  <si>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</si>
  <si>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</si>
  <si>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</si>
  <si>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</si>
  <si>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</si>
  <si>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</si>
  <si>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</si>
  <si>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</si>
  <si>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</si>
  <si>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</si>
  <si>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</si>
  <si>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</si>
  <si>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</si>
  <si>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</si>
  <si>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</si>
  <si>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</si>
  <si>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</si>
  <si>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</si>
  <si>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</si>
  <si>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</si>
  <si>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</si>
  <si>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</si>
  <si>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</si>
  <si>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</si>
  <si>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</si>
  <si>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</si>
  <si>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</si>
  <si>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</si>
  <si>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</si>
  <si>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</si>
  <si>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</si>
  <si>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</si>
  <si>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</si>
  <si>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</si>
  <si>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</si>
  <si>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</si>
  <si>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</si>
  <si>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</si>
  <si>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</si>
  <si>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</si>
  <si>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</si>
  <si>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</si>
  <si>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</si>
  <si>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</si>
  <si>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</si>
  <si>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</si>
  <si>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</si>
  <si>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</si>
  <si>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</si>
  <si>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</si>
  <si>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</si>
  <si>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</si>
  <si>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</si>
  <si>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</si>
  <si>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</si>
  <si>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</si>
  <si>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</si>
  <si>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</si>
  <si>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</si>
  <si>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</si>
  <si>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</si>
  <si>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</si>
  <si>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</si>
  <si>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</si>
  <si>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</si>
  <si>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</si>
  <si>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</si>
  <si>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</si>
  <si>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</si>
  <si>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</si>
  <si>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</si>
  <si>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</si>
  <si>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</si>
  <si>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</si>
  <si>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</si>
  <si>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</si>
  <si>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</si>
  <si>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</si>
  <si>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</si>
  <si>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</si>
  <si>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</si>
  <si>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</si>
  <si>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</si>
  <si>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</si>
  <si>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</si>
  <si>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</si>
  <si>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</si>
  <si>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</si>
  <si>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</si>
  <si>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</si>
  <si>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</si>
  <si>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</si>
  <si>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</si>
  <si>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</si>
  <si>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</si>
  <si>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</si>
  <si>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</si>
  <si>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</si>
  <si>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</si>
  <si>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</si>
  <si>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</si>
  <si>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</si>
  <si>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</si>
  <si>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</si>
  <si>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</si>
  <si>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</si>
  <si>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</si>
  <si>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</si>
  <si>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</si>
  <si>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</si>
  <si>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</si>
  <si>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</si>
  <si>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</si>
  <si>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</si>
  <si>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</si>
  <si>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</si>
  <si>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</si>
  <si>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</si>
  <si>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</si>
  <si>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</si>
  <si>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</si>
  <si>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</si>
  <si>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</si>
  <si>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</si>
  <si>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</si>
  <si>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</si>
  <si>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</si>
  <si>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</si>
  <si>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</si>
  <si>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</si>
  <si>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</si>
  <si>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</si>
  <si>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</si>
  <si>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</si>
  <si>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</si>
  <si>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</si>
  <si>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</si>
  <si>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</si>
  <si>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</si>
  <si>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</si>
  <si>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</si>
  <si>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</si>
  <si>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</si>
  <si>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</si>
  <si>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</si>
  <si>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</si>
  <si>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</si>
  <si>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</si>
  <si>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</si>
  <si>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</si>
  <si>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</si>
  <si>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</si>
  <si>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</si>
  <si>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</si>
  <si>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</si>
  <si>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</si>
  <si>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</si>
  <si>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</si>
  <si>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</si>
  <si>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</si>
  <si>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</si>
  <si>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</si>
  <si>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</si>
  <si>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</si>
  <si>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</si>
  <si>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</si>
  <si>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</si>
  <si>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</si>
  <si>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</si>
  <si>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</si>
  <si>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</si>
  <si>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</si>
  <si>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</si>
  <si>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</si>
  <si>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</si>
  <si>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</si>
  <si>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</si>
  <si>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</si>
  <si>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</si>
  <si>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</si>
  <si>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</si>
  <si>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</si>
  <si>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</si>
  <si>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</si>
  <si>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</si>
  <si>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</si>
  <si>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</si>
  <si>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</si>
  <si>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</si>
  <si>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</si>
  <si>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</si>
  <si>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</si>
  <si>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</si>
  <si>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</si>
  <si>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</si>
  <si>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</si>
  <si>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</si>
  <si>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</si>
  <si>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</si>
  <si>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</si>
  <si>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</si>
  <si>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</si>
  <si>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</si>
  <si>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</si>
  <si>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</si>
  <si>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</si>
  <si>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</si>
  <si>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</si>
  <si>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</si>
  <si>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</si>
  <si>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</si>
  <si>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</si>
  <si>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</si>
  <si>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</si>
  <si>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</si>
  <si>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</si>
  <si>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</si>
  <si>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</si>
  <si>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</si>
  <si>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</si>
  <si>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</si>
  <si>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</si>
  <si>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</si>
  <si>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</si>
  <si>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</si>
  <si>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</si>
  <si>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</si>
  <si>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</si>
  <si>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</si>
  <si>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</si>
  <si>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</si>
  <si>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</si>
  <si>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</si>
  <si>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</si>
  <si>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</si>
  <si>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</si>
  <si>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</si>
  <si>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</si>
  <si>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</si>
  <si>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</si>
  <si>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</si>
  <si>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</si>
  <si>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</si>
  <si>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</si>
  <si>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</si>
  <si>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</si>
  <si>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</si>
  <si>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</si>
  <si>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</si>
  <si>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</si>
  <si>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</si>
  <si>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</si>
  <si>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</si>
  <si>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</si>
  <si>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</si>
  <si>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</si>
  <si>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</si>
  <si>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</si>
  <si>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</si>
  <si>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</si>
  <si>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</si>
  <si>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</si>
  <si>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</si>
  <si>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</si>
  <si>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</si>
  <si>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</si>
  <si>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</si>
  <si>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</si>
  <si>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</si>
  <si>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</si>
  <si>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</si>
  <si>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</si>
  <si>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</si>
  <si>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</si>
  <si>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</si>
  <si>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</si>
  <si>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</si>
  <si>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</si>
  <si>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</si>
  <si>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</si>
  <si>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</si>
  <si>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</si>
  <si>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</si>
  <si>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</si>
  <si>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</si>
  <si>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</si>
  <si>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</si>
  <si>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</si>
  <si>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</si>
  <si>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</si>
  <si>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</si>
  <si>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</si>
  <si>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</si>
  <si>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</si>
  <si>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</si>
  <si>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</si>
  <si>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</si>
  <si>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</si>
  <si>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</si>
  <si>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</si>
  <si>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</si>
  <si>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</si>
  <si>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</si>
  <si>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</si>
  <si>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</si>
  <si>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</si>
  <si>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</si>
  <si>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</si>
  <si>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</si>
  <si>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</si>
  <si>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</si>
  <si>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</si>
  <si>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</si>
  <si>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</si>
  <si>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</si>
  <si>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</si>
  <si>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</si>
  <si>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</si>
  <si>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</si>
  <si>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</si>
  <si>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</si>
  <si>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</si>
  <si>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</si>
  <si>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</si>
  <si>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</si>
  <si>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</si>
  <si>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</si>
  <si>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</si>
  <si>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</si>
  <si>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</si>
  <si>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</si>
  <si>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</si>
  <si>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</si>
  <si>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</si>
  <si>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</si>
  <si>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</si>
  <si>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</si>
  <si>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</si>
  <si>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</si>
  <si>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</si>
  <si>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</si>
  <si>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</si>
  <si>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</si>
  <si>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</si>
  <si>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</si>
  <si>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</si>
  <si>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</si>
  <si>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</si>
  <si>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</si>
  <si>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</si>
  <si>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</si>
  <si>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</si>
  <si>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</si>
  <si>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</si>
  <si>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</si>
  <si>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</si>
  <si>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</si>
  <si>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</si>
  <si>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</si>
  <si>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</si>
  <si>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</si>
  <si>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</si>
  <si>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</si>
  <si>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</si>
  <si>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</si>
  <si>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</si>
  <si>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</si>
  <si>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</si>
  <si>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</si>
  <si>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</si>
  <si>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</si>
  <si>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</si>
  <si>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</si>
  <si>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</si>
  <si>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</si>
  <si>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</si>
  <si>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</si>
  <si>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</si>
  <si>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</si>
  <si>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</si>
  <si>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</si>
  <si>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</si>
  <si>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</si>
  <si>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</si>
  <si>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</si>
  <si>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</si>
  <si>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</si>
  <si>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</si>
  <si>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</si>
  <si>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</si>
  <si>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</si>
  <si>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</si>
  <si>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</si>
  <si>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</si>
  <si>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</si>
  <si>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</si>
  <si>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</si>
  <si>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</si>
  <si>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</si>
  <si>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</si>
  <si>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</si>
  <si>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</si>
  <si>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</si>
  <si>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</si>
  <si>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</si>
  <si>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</si>
  <si>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</si>
  <si>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</si>
  <si>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</si>
  <si>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</si>
  <si>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</si>
  <si>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</si>
  <si>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</si>
  <si>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</si>
  <si>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</si>
  <si>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</si>
  <si>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</si>
  <si>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</si>
  <si>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</si>
  <si>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</si>
  <si>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</si>
  <si>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</si>
  <si>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</si>
  <si>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</si>
  <si>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</si>
  <si>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</si>
  <si>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</si>
  <si>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</si>
  <si>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</si>
  <si>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</si>
  <si>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</si>
  <si>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</si>
  <si>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</si>
  <si>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</si>
  <si>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</si>
  <si>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</si>
  <si>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</si>
  <si>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</si>
  <si>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</si>
  <si>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</si>
  <si>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</si>
  <si>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</si>
  <si>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</si>
  <si>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</si>
  <si>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</si>
  <si>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</si>
  <si>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</si>
  <si>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</si>
  <si>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</si>
  <si>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</si>
  <si>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</si>
  <si>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</si>
  <si>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</si>
  <si>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</si>
  <si>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</si>
  <si>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</si>
  <si>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</si>
  <si>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</si>
  <si>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</si>
  <si>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</si>
  <si>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</si>
  <si>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</si>
  <si>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</si>
  <si>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</si>
  <si>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</si>
  <si>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</si>
  <si>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</si>
  <si>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</si>
  <si>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</si>
  <si>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</si>
  <si>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</si>
  <si>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</si>
  <si>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</si>
  <si>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</si>
  <si>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</si>
  <si>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</si>
  <si>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</si>
  <si>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</si>
  <si>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</si>
  <si>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</si>
  <si>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</si>
  <si>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</si>
  <si>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</si>
  <si>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</si>
  <si>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</si>
  <si>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</si>
  <si>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</si>
  <si>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</si>
  <si>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</si>
  <si>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</si>
  <si>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</si>
  <si>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</si>
  <si>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</si>
  <si>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</si>
  <si>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</si>
  <si>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</si>
  <si>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</si>
  <si>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</si>
  <si>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</si>
  <si>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</si>
  <si>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</si>
  <si>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</si>
  <si>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</si>
  <si>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</si>
  <si>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</si>
  <si>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</si>
  <si>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</si>
  <si>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</si>
  <si>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</si>
  <si>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</si>
  <si>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</si>
  <si>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</si>
  <si>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</si>
  <si>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</si>
  <si>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</si>
  <si>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</si>
  <si>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</si>
  <si>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</si>
  <si>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</si>
  <si>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</si>
  <si>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</si>
  <si>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</si>
  <si>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</si>
  <si>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</si>
  <si>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</si>
  <si>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</si>
  <si>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</si>
  <si>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</si>
  <si>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</si>
  <si>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</si>
  <si>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</si>
  <si>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</si>
  <si>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</si>
  <si>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</si>
  <si>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</si>
  <si>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</si>
  <si>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</si>
  <si>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</si>
  <si>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</si>
  <si>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</si>
  <si>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</si>
  <si>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</si>
  <si>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</si>
  <si>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</si>
  <si>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</si>
  <si>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</si>
  <si>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</si>
  <si>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</si>
  <si>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</si>
  <si>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</si>
  <si>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</si>
  <si>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</si>
  <si>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</si>
  <si>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</si>
  <si>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</si>
  <si>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</si>
  <si>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</si>
  <si>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</si>
  <si>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</si>
  <si>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</si>
  <si>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</si>
  <si>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</si>
  <si>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</si>
  <si>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</si>
  <si>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</si>
  <si>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</si>
  <si>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</si>
  <si>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</si>
  <si>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</si>
  <si>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</si>
  <si>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</si>
  <si>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</si>
  <si>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</si>
  <si>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</si>
  <si>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</si>
  <si>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</si>
  <si>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</si>
  <si>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</si>
  <si>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</si>
  <si>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</si>
  <si>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</si>
  <si>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</si>
  <si>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</si>
  <si>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</si>
  <si>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</si>
  <si>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</si>
  <si>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</si>
  <si>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</si>
  <si>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</si>
  <si>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</si>
  <si>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</si>
  <si>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</si>
  <si>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</si>
  <si>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</si>
  <si>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</si>
  <si>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</si>
  <si>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</si>
  <si>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</si>
  <si>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</si>
  <si>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</si>
  <si>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</si>
  <si>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</si>
  <si>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</si>
  <si>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</si>
  <si>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</si>
  <si>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</si>
  <si>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</si>
  <si>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</si>
  <si>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</si>
  <si>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</si>
  <si>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</si>
  <si>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</si>
  <si>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</si>
  <si>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</si>
  <si>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</si>
  <si>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</si>
  <si>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</si>
  <si>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</si>
  <si>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</si>
  <si>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</si>
  <si>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</si>
  <si>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</si>
  <si>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</si>
  <si>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</si>
  <si>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</si>
  <si>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</si>
  <si>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</si>
  <si>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</si>
  <si>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</si>
  <si>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</si>
  <si>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</si>
  <si>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</si>
  <si>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</si>
  <si>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</si>
  <si>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</si>
  <si>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</si>
  <si>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</si>
  <si>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</si>
  <si>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</si>
  <si>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</si>
  <si>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</si>
  <si>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</si>
  <si>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</si>
  <si>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</si>
  <si>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</si>
  <si>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</si>
  <si>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</si>
  <si>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</si>
  <si>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</si>
  <si>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</si>
  <si>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</si>
  <si>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</si>
  <si>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</si>
  <si>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</si>
  <si>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</si>
  <si>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</si>
  <si>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</si>
  <si>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</si>
  <si>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</si>
  <si>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</si>
  <si>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</si>
  <si>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</si>
  <si>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</si>
  <si>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</si>
  <si>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</si>
  <si>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</si>
  <si>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</si>
  <si>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</si>
  <si>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</si>
  <si>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</si>
  <si>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</si>
  <si>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</si>
  <si>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</si>
  <si>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</si>
  <si>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</si>
  <si>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</si>
  <si>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</si>
  <si>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</si>
  <si>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</si>
  <si>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</si>
  <si>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</si>
  <si>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</si>
  <si>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</si>
  <si>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</si>
  <si>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</si>
  <si>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</si>
  <si>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</si>
  <si>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</si>
  <si>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</si>
  <si>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</si>
  <si>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</si>
  <si>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</si>
  <si>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</si>
  <si>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</si>
  <si>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</si>
  <si>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</si>
  <si>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</si>
  <si>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</si>
  <si>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</si>
  <si>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</si>
  <si>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</si>
  <si>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</si>
  <si>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</si>
  <si>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</si>
  <si>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</si>
  <si>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</si>
  <si>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</si>
  <si>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</si>
  <si>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</si>
  <si>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</si>
  <si>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</si>
  <si>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</si>
  <si>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</si>
  <si>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</si>
  <si>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</si>
  <si>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</si>
  <si>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</si>
  <si>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</si>
  <si>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</si>
  <si>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</si>
  <si>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</si>
  <si>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</si>
  <si>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</si>
  <si>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</si>
  <si>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</si>
  <si>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</si>
  <si>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</si>
  <si>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</si>
  <si>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</si>
  <si>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</si>
  <si>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</si>
  <si>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</si>
  <si>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</si>
  <si>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</si>
  <si>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</si>
  <si>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</si>
  <si>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</si>
  <si>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</si>
  <si>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</si>
  <si>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</si>
  <si>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</si>
  <si>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</si>
  <si>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</si>
  <si>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</si>
  <si>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</si>
  <si>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</si>
  <si>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</si>
  <si>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</si>
  <si>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</si>
  <si>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</si>
  <si>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</si>
  <si>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</si>
  <si>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</si>
  <si>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</si>
  <si>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</si>
  <si>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</si>
  <si>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</si>
  <si>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</si>
  <si>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</si>
  <si>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</si>
  <si>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</si>
  <si>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</si>
  <si>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</si>
  <si>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</si>
  <si>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</si>
  <si>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</si>
  <si>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</si>
  <si>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</si>
  <si>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</si>
  <si>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</si>
  <si>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</si>
  <si>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</si>
  <si>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</si>
  <si>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</si>
  <si>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</si>
  <si>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</si>
  <si>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</si>
  <si>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</si>
  <si>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</si>
  <si>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</si>
  <si>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</si>
  <si>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</si>
  <si>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</si>
  <si>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</si>
  <si>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</si>
  <si>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</si>
  <si>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</si>
  <si>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</si>
  <si>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</si>
  <si>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</si>
  <si>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</si>
  <si>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</si>
  <si>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</si>
  <si>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</si>
  <si>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</si>
  <si>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</si>
  <si>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</si>
  <si>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</si>
  <si>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</si>
  <si>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</si>
  <si>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</si>
  <si>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</si>
  <si>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</si>
  <si>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</si>
  <si>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</si>
  <si>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</si>
  <si>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</si>
  <si>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</si>
  <si>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</si>
  <si>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</si>
  <si>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</si>
  <si>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</si>
  <si>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</si>
  <si>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</si>
  <si>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</si>
  <si>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</si>
  <si>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</si>
  <si>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</si>
  <si>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</si>
  <si>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</si>
  <si>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</si>
  <si>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</si>
  <si>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</si>
  <si>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</si>
  <si>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</si>
  <si>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</si>
  <si>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</si>
  <si>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</si>
  <si>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</si>
  <si>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</si>
  <si>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</si>
  <si>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</si>
  <si>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</si>
  <si>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</si>
  <si>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</si>
  <si>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</si>
  <si>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</si>
  <si>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</si>
  <si>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</si>
  <si>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</si>
  <si>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</si>
  <si>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</si>
  <si>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</si>
  <si>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</si>
  <si>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</si>
  <si>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</si>
  <si>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</si>
  <si>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</si>
  <si>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</si>
  <si>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</si>
  <si>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</si>
  <si>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</si>
  <si>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</si>
  <si>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</si>
  <si>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</si>
  <si>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</si>
  <si>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</si>
  <si>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</si>
  <si>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</si>
  <si>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</si>
  <si>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</si>
  <si>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</si>
  <si>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</si>
  <si>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</si>
  <si>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</si>
  <si>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</si>
  <si>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</si>
  <si>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</si>
  <si>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</si>
  <si>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</si>
  <si>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</si>
  <si>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</si>
  <si>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</si>
  <si>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</si>
  <si>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</si>
  <si>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</si>
  <si>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</si>
  <si>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</si>
  <si>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</si>
  <si>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</si>
  <si>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</si>
  <si>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</si>
  <si>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</si>
  <si>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</si>
  <si>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</si>
  <si>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</si>
  <si>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</si>
  <si>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</si>
  <si>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</si>
  <si>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</si>
  <si>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</si>
  <si>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</si>
  <si>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</si>
  <si>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</si>
  <si>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</si>
  <si>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</si>
  <si>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</si>
  <si>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</si>
  <si>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</si>
  <si>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</si>
  <si>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</si>
  <si>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</si>
  <si>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</si>
  <si>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</si>
  <si>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</si>
  <si>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</si>
  <si>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</si>
  <si>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</si>
  <si>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</si>
  <si>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</si>
  <si>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</si>
  <si>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</si>
  <si>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</si>
  <si>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</si>
  <si>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</si>
  <si>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</si>
  <si>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</si>
  <si>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</si>
  <si>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</si>
  <si>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</si>
  <si>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</si>
  <si>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</si>
  <si>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</si>
  <si>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</si>
  <si>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</si>
  <si>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</si>
  <si>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</si>
  <si>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</si>
  <si>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</si>
  <si>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</si>
  <si>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</si>
  <si>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</si>
  <si>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</si>
  <si>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</si>
  <si>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</si>
  <si>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</si>
  <si>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</si>
  <si>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</si>
  <si>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</si>
  <si>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</si>
  <si>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</si>
  <si>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</si>
  <si>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</si>
  <si>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</si>
  <si>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</si>
  <si>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</si>
  <si>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</si>
  <si>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</si>
  <si>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</si>
  <si>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</si>
  <si>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</si>
  <si>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</si>
  <si>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</si>
  <si>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</si>
  <si>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</si>
  <si>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</si>
  <si>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</si>
  <si>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</si>
  <si>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</si>
  <si>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</si>
  <si>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</si>
  <si>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</si>
  <si>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</si>
  <si>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</si>
  <si>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</si>
  <si>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</si>
  <si>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</si>
  <si>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</si>
  <si>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</si>
  <si>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</si>
  <si>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</si>
  <si>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</si>
  <si>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</si>
  <si>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</si>
  <si>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</si>
  <si>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</si>
  <si>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</si>
  <si>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</si>
  <si>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</si>
  <si>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</si>
  <si>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</si>
  <si>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</si>
  <si>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</si>
  <si>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</si>
  <si>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</si>
  <si>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</si>
  <si>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</si>
  <si>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</si>
  <si>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</si>
  <si>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</si>
  <si>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</si>
  <si>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</si>
  <si>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</si>
  <si>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</si>
  <si>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</si>
  <si>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</si>
  <si>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</si>
  <si>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</si>
  <si>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</si>
  <si>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</si>
  <si>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</si>
  <si>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</si>
  <si>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</si>
  <si>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</si>
  <si>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</si>
  <si>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</si>
  <si>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</si>
  <si>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</si>
  <si>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</si>
  <si>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</si>
  <si>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</si>
  <si>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</si>
  <si>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</si>
  <si>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</si>
  <si>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</si>
  <si>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</si>
  <si>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</si>
  <si>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</si>
  <si>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</si>
  <si>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</si>
  <si>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</si>
  <si>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</si>
  <si>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</si>
  <si>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</si>
  <si>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</si>
  <si>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</si>
  <si>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</si>
  <si>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</si>
  <si>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</si>
  <si>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</si>
  <si>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</si>
  <si>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</si>
  <si>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</si>
  <si>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</si>
  <si>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</si>
  <si>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</si>
  <si>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</si>
  <si>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</si>
  <si>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</si>
  <si>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</si>
  <si>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</si>
  <si>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</si>
  <si>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</si>
  <si>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</si>
  <si>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</si>
  <si>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</si>
  <si>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</si>
  <si>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</si>
  <si>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</si>
  <si>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</si>
  <si>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</si>
  <si>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</si>
  <si>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</si>
  <si>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</si>
  <si>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</si>
  <si>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</si>
  <si>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</si>
  <si>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</si>
  <si>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</si>
  <si>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</si>
  <si>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</si>
  <si>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</si>
  <si>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</si>
  <si>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</si>
  <si>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</si>
  <si>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</si>
  <si>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</si>
  <si>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</si>
  <si>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</si>
  <si>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</si>
  <si>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</si>
  <si>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</si>
  <si>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</si>
  <si>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</si>
  <si>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</si>
  <si>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</si>
  <si>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</si>
  <si>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</si>
  <si>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</si>
  <si>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</si>
  <si>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</si>
  <si>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</si>
  <si>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</si>
  <si>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</si>
  <si>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</si>
  <si>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</si>
  <si>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</si>
  <si>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</si>
  <si>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</si>
  <si>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</si>
  <si>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</si>
  <si>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</si>
  <si>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</si>
  <si>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</si>
  <si>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</si>
  <si>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</si>
  <si>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</si>
  <si>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</si>
  <si>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</si>
  <si>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</si>
  <si>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</si>
  <si>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</si>
  <si>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</si>
  <si>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</si>
  <si>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</si>
  <si>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</si>
  <si>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</si>
  <si>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</si>
  <si>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</si>
  <si>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</si>
  <si>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</si>
  <si>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</si>
  <si>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</si>
  <si>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</si>
  <si>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</si>
  <si>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</si>
  <si>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</si>
  <si>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</si>
  <si>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</si>
  <si>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</si>
  <si>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</si>
  <si>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</si>
  <si>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</si>
  <si>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</si>
  <si>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</si>
  <si>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</si>
  <si>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</si>
  <si>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</si>
  <si>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</si>
  <si>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</si>
  <si>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</si>
  <si>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</si>
  <si>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</si>
  <si>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</si>
  <si>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</si>
  <si>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</si>
  <si>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</si>
  <si>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</si>
  <si>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</si>
  <si>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</si>
  <si>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</si>
  <si>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</si>
  <si>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</si>
  <si>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</si>
  <si>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</si>
  <si>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</si>
  <si>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</si>
  <si>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</si>
  <si>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</si>
  <si>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</si>
  <si>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</si>
  <si>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</si>
  <si>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</si>
  <si>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</si>
  <si>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</si>
  <si>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</si>
  <si>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</si>
  <si>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</si>
  <si>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</si>
  <si>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</si>
  <si>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</si>
  <si>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</si>
  <si>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</si>
  <si>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</si>
  <si>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</si>
  <si>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</si>
  <si>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</si>
  <si>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</si>
  <si>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</si>
  <si>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</si>
  <si>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</si>
  <si>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</si>
  <si>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</si>
  <si>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</si>
  <si>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</si>
  <si>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</si>
  <si>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</si>
  <si>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</si>
  <si>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</si>
  <si>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</si>
  <si>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</si>
  <si>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</si>
  <si>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</si>
  <si>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</si>
  <si>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</si>
  <si>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</si>
  <si>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</si>
  <si>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</si>
  <si>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</si>
  <si>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</si>
  <si>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</si>
  <si>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</si>
  <si>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</si>
  <si>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</si>
  <si>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</si>
  <si>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</si>
  <si>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</si>
  <si>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</si>
  <si>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</si>
  <si>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</si>
  <si>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</si>
  <si>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</si>
  <si>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</si>
  <si>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</si>
  <si>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</si>
  <si>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</si>
  <si>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</si>
  <si>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</si>
  <si>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</si>
  <si>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</si>
  <si>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</si>
  <si>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</si>
  <si>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</si>
  <si>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</si>
  <si>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</si>
  <si>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</si>
  <si>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</si>
  <si>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</si>
  <si>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</si>
  <si>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</si>
  <si>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</si>
  <si>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</si>
  <si>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</si>
  <si>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</si>
  <si>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</si>
  <si>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</si>
  <si>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</si>
  <si>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</si>
  <si>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</si>
  <si>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</si>
  <si>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</si>
  <si>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</si>
  <si>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</si>
  <si>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</si>
  <si>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</si>
  <si>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</si>
  <si>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</si>
  <si>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</si>
  <si>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</si>
  <si>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</si>
  <si>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</si>
  <si>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</si>
  <si>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</si>
  <si>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</si>
  <si>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</si>
  <si>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</si>
  <si>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</si>
  <si>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</si>
  <si>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</si>
  <si>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</si>
  <si>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</si>
  <si>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</si>
  <si>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</si>
  <si>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</si>
  <si>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</si>
  <si>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</si>
  <si>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</si>
  <si>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</si>
  <si>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</si>
  <si>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</si>
  <si>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</si>
  <si>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</si>
  <si>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</si>
  <si>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</si>
  <si>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</si>
  <si>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</si>
  <si>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</si>
  <si>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</si>
  <si>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</si>
  <si>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</si>
  <si>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</si>
  <si>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</si>
  <si>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</si>
  <si>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</si>
  <si>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</si>
  <si>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</si>
  <si>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</si>
  <si>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</si>
  <si>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</si>
  <si>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</si>
  <si>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</si>
  <si>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</si>
  <si>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</si>
  <si>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</si>
  <si>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</si>
  <si>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</si>
  <si>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</si>
  <si>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</si>
  <si>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</si>
  <si>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</si>
  <si>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</si>
  <si>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</si>
  <si>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</si>
  <si>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</si>
  <si>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</si>
  <si>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</si>
  <si>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</si>
  <si>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</si>
  <si>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</si>
  <si>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</si>
  <si>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</si>
  <si>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</si>
  <si>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</si>
  <si>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</si>
  <si>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</si>
  <si>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</si>
  <si>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</si>
  <si>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</si>
  <si>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</si>
  <si>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</si>
  <si>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</si>
  <si>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</si>
  <si>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</si>
  <si>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</si>
  <si>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</si>
  <si>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</si>
  <si>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</si>
  <si>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</si>
  <si>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</si>
  <si>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</si>
  <si>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</si>
  <si>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</si>
  <si>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</si>
  <si>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</si>
  <si>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</si>
  <si>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</si>
  <si>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</si>
  <si>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</si>
  <si>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</si>
  <si>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</si>
  <si>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</si>
  <si>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</si>
  <si>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</si>
  <si>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</si>
  <si>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</si>
  <si>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</si>
  <si>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</si>
  <si>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</si>
  <si>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</si>
  <si>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</si>
  <si>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</si>
  <si>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</si>
  <si>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</si>
  <si>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</si>
  <si>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</si>
  <si>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</si>
  <si>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</si>
  <si>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</si>
  <si>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</si>
  <si>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</si>
  <si>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</si>
  <si>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</si>
  <si>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</si>
  <si>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</si>
  <si>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</si>
  <si>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</si>
  <si>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</si>
  <si>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</si>
  <si>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</si>
  <si>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</si>
  <si>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</si>
  <si>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</si>
  <si>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</si>
  <si>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</si>
  <si>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</si>
  <si>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</si>
  <si>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</si>
  <si>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</si>
  <si>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</si>
  <si>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</si>
  <si>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</si>
  <si>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</si>
  <si>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</si>
  <si>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</si>
  <si>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</si>
  <si>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</si>
  <si>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</si>
  <si>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</si>
  <si>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</si>
  <si>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</si>
  <si>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</si>
  <si>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</si>
  <si>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</si>
  <si>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</si>
  <si>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</si>
  <si>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</si>
  <si>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</si>
  <si>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</si>
  <si>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</si>
  <si>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</si>
  <si>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</si>
  <si>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</si>
  <si>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</si>
  <si>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</si>
  <si>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</si>
  <si>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</si>
  <si>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</si>
  <si>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</si>
  <si>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</si>
  <si>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</si>
  <si>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</si>
  <si>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</si>
  <si>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</si>
  <si>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</si>
  <si>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</si>
  <si>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</si>
  <si>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</si>
  <si>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</si>
  <si>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</si>
  <si>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</si>
  <si>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</si>
  <si>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</si>
  <si>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</si>
  <si>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</si>
  <si>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</si>
  <si>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</si>
  <si>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</si>
  <si>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</si>
  <si>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</si>
  <si>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</si>
  <si>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</si>
  <si>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</si>
  <si>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</si>
  <si>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</si>
  <si>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</si>
  <si>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</si>
  <si>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</si>
  <si>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</si>
  <si>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</si>
  <si>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</si>
  <si>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</si>
  <si>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</si>
  <si>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</si>
  <si>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</si>
  <si>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</si>
  <si>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</si>
  <si>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</si>
  <si>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</si>
  <si>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</si>
  <si>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</si>
  <si>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</si>
  <si>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</si>
  <si>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</si>
  <si>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</si>
  <si>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</si>
  <si>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</si>
  <si>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</si>
  <si>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</si>
  <si>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</si>
  <si>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</si>
  <si>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</si>
  <si>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</si>
  <si>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</si>
  <si>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</si>
  <si>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</si>
  <si>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</si>
  <si>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</si>
  <si>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</si>
  <si>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</si>
  <si>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</si>
  <si>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</si>
  <si>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</si>
  <si>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</si>
  <si>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</si>
  <si>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</si>
  <si>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</si>
  <si>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</si>
  <si>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</si>
  <si>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</si>
  <si>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</si>
  <si>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</si>
  <si>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</si>
  <si>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</si>
  <si>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</si>
  <si>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</si>
  <si>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</si>
  <si>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</si>
  <si>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</si>
  <si>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</si>
  <si>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</si>
  <si>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</si>
  <si>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</si>
  <si>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</si>
  <si>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</si>
  <si>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</si>
  <si>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</si>
  <si>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</si>
  <si>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</si>
  <si>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</si>
  <si>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</si>
  <si>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</si>
  <si>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</si>
  <si>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</si>
  <si>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</si>
  <si>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</si>
  <si>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</si>
  <si>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</si>
  <si>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</si>
  <si>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</si>
  <si>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</si>
  <si>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</si>
  <si>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</si>
  <si>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</si>
  <si>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</si>
  <si>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</si>
  <si>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</si>
  <si>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</si>
  <si>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</si>
  <si>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</si>
  <si>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</si>
  <si>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</si>
  <si>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</si>
  <si>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</si>
  <si>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</si>
  <si>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</si>
  <si>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</si>
  <si>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</si>
  <si>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</si>
  <si>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</si>
  <si>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</si>
  <si>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</si>
  <si>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</si>
  <si>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</si>
  <si>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</si>
  <si>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</si>
  <si>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</si>
  <si>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</si>
  <si>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</si>
  <si>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</si>
  <si>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</si>
  <si>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</si>
  <si>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</si>
  <si>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</si>
  <si>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</si>
  <si>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</si>
  <si>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</si>
  <si>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</si>
  <si>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</si>
  <si>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</si>
  <si>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</si>
  <si>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</si>
  <si>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</si>
  <si>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</si>
  <si>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</si>
  <si>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</si>
  <si>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</si>
  <si>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</si>
  <si>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</si>
  <si>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</si>
  <si>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</si>
  <si>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</si>
  <si>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</si>
  <si>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</si>
  <si>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</si>
  <si>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</si>
  <si>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</si>
  <si>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</si>
  <si>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</si>
  <si>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</si>
  <si>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</si>
  <si>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</si>
  <si>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</si>
  <si>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</si>
  <si>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</si>
  <si>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</si>
  <si>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</si>
  <si>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</si>
  <si>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</si>
  <si>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</si>
  <si>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</si>
  <si>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</si>
  <si>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</si>
  <si>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</si>
  <si>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</si>
  <si>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</si>
  <si>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</si>
  <si>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</si>
  <si>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</si>
  <si>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</si>
  <si>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</si>
  <si>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</si>
  <si>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</si>
  <si>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</si>
  <si>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</si>
  <si>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</si>
  <si>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</si>
  <si>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</si>
  <si>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</si>
  <si>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</si>
  <si>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</si>
  <si>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</si>
  <si>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</si>
  <si>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</si>
  <si>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</si>
  <si>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</si>
  <si>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</si>
  <si>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</si>
  <si>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</si>
  <si>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</si>
  <si>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</si>
  <si>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</si>
  <si>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</si>
  <si>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</si>
  <si>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</si>
  <si>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</si>
  <si>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</si>
  <si>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</si>
  <si>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</si>
  <si>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</si>
  <si>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r>
      <t xml:space="preserve">Get </t>
    </r>
    <r>
      <rPr>
        <b/>
        <sz val="16"/>
        <color theme="1"/>
        <rFont val="Calibri"/>
        <family val="2"/>
        <scheme val="minor"/>
      </rPr>
      <t>10% OFF</t>
    </r>
    <r>
      <rPr>
        <sz val="16"/>
        <color theme="1"/>
        <rFont val="Calibri"/>
        <family val="2"/>
        <scheme val="minor"/>
      </rPr>
      <t xml:space="preserve"> our course using coupon code </t>
    </r>
    <r>
      <rPr>
        <b/>
        <sz val="16"/>
        <color theme="1"/>
        <rFont val="Calibri"/>
        <family val="2"/>
        <scheme val="minor"/>
      </rPr>
      <t>EMAIL10</t>
    </r>
  </si>
  <si>
    <t>Get our Excel for Business and Finance course.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</si>
  <si>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</si>
  <si>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</si>
  <si>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</si>
  <si>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</si>
  <si>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Billionaires Dataset.</t>
  </si>
  <si>
    <t>Male</t>
  </si>
  <si>
    <t>Female</t>
  </si>
  <si>
    <t>Age</t>
  </si>
  <si>
    <t>Brithdate</t>
  </si>
  <si>
    <t>Current date</t>
  </si>
  <si>
    <t>Row Labels</t>
  </si>
  <si>
    <t>Grand Total</t>
  </si>
  <si>
    <t>Sum of finalWorth</t>
  </si>
  <si>
    <t>Count of personName</t>
  </si>
  <si>
    <t>Average of finalWorth2</t>
  </si>
  <si>
    <r>
      <t xml:space="preserve">       </t>
    </r>
    <r>
      <rPr>
        <b/>
        <sz val="14"/>
        <color theme="2"/>
        <rFont val="Calibri"/>
        <family val="2"/>
        <scheme val="minor"/>
      </rPr>
      <t>Filters</t>
    </r>
  </si>
  <si>
    <t>Column1</t>
  </si>
  <si>
    <t>Self-made</t>
  </si>
  <si>
    <t>Inherited</t>
  </si>
  <si>
    <t>Person Name</t>
  </si>
  <si>
    <t>Country</t>
  </si>
  <si>
    <t>Rank</t>
  </si>
  <si>
    <t>Category</t>
  </si>
  <si>
    <t>City</t>
  </si>
  <si>
    <t>Source</t>
  </si>
  <si>
    <t>Industries</t>
  </si>
  <si>
    <t>Gender</t>
  </si>
  <si>
    <t>Final Worth</t>
  </si>
  <si>
    <t>Gdp_country</t>
  </si>
  <si>
    <t xml:space="preserve">  Analysis - PivotTables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</si>
</sst>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73" formatCode="\$#,##0.0,&quot;B&quot;"/>
  </numFmts>
  <fonts count="3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b/>
      <sz val="48"/>
      <color theme="1"/>
      <name val="Calibri"/>
      <family val="2"/>
      <scheme val="minor"/>
    </font>
    <font>
      <b/>
      <sz val="60"/>
      <color theme="1"/>
      <name val="Calibri"/>
      <family val="2"/>
      <scheme val="minor"/>
    </font>
    <font>
      <sz val="16"/>
      <color theme="1"/>
      <name val="Calibri"/>
      <family val="2"/>
      <scheme val="minor"/>
    </font>
    <font>
      <b/>
      <sz val="16"/>
      <color theme="1"/>
      <name val="Calibri"/>
      <family val="2"/>
      <scheme val="minor"/>
    </font>
    <font>
      <u/>
      <sz val="18"/>
      <color theme="10"/>
      <name val="Calibri"/>
      <family val="2"/>
      <scheme val="minor"/>
    </font>
    <font>
      <i/>
      <sz val="14"/>
      <color rgb="FF0432FF"/>
      <name val="Calibri"/>
      <family val="2"/>
      <scheme val="minor"/>
    </font>
    <font>
      <b/>
      <sz val="11"/>
      <color theme="1"/>
      <name val="Calibri"/>
      <family val="2"/>
      <scheme val="minor"/>
    </font>
    <font>
      <sz val="12"/>
      <color theme="4" tint="0.39997558519241921"/>
      <name val="Calibri"/>
      <family val="2"/>
      <scheme val="minor"/>
    </font>
    <font>
      <b/>
      <sz val="12"/>
      <color theme="2"/>
      <name val="Calibri"/>
      <family val="2"/>
      <scheme val="minor"/>
    </font>
    <font>
      <b/>
      <sz val="14"/>
      <color theme="2"/>
      <name val="Calibri"/>
      <family val="2"/>
      <scheme val="minor"/>
    </font>
    <font>
      <b/>
      <sz val="12"/>
      <color theme="9" tint="-0.499984740745262"/>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7" tint="0.79998168889431442"/>
        <bgColor indexed="64"/>
      </patternFill>
    </fill>
    <fill>
      <patternFill patternType="solid">
        <fgColor rgb="FF0043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2">
    <xf numFmtId="0" fontId="0" fillId="0" borderId="0" xfId="0"/>
    <xf numFmtId="164" fontId="0" fillId="0" borderId="0" xfId="0" applyNumberFormat="1"/>
    <xf numFmtId="0" fontId="16" fillId="0" borderId="0" xfId="0" applyFont="1"/>
    <xf numFmtId="0" fontId="0" fillId="0" borderId="10" xfId="0" applyBorder="1"/>
    <xf numFmtId="0" fontId="19" fillId="0" borderId="11" xfId="0" applyFont="1" applyBorder="1" applyAlignment="1">
      <alignment horizontal="center" vertical="center"/>
    </xf>
    <xf numFmtId="0" fontId="0" fillId="0" borderId="12" xfId="0" applyBorder="1"/>
    <xf numFmtId="0" fontId="0" fillId="33" borderId="0" xfId="0" applyFill="1"/>
    <xf numFmtId="0" fontId="0" fillId="0" borderId="13" xfId="0" applyBorder="1"/>
    <xf numFmtId="0" fontId="20" fillId="0" borderId="0" xfId="0" applyFont="1" applyAlignment="1">
      <alignment horizontal="center" vertical="center"/>
    </xf>
    <xf numFmtId="0" fontId="0" fillId="0" borderId="14" xfId="0" applyBorder="1"/>
    <xf numFmtId="0" fontId="1" fillId="0" borderId="13" xfId="0" applyFont="1" applyBorder="1"/>
    <xf numFmtId="0" fontId="21" fillId="0" borderId="0" xfId="0" applyFont="1" applyAlignment="1">
      <alignment horizontal="center"/>
    </xf>
    <xf numFmtId="0" fontId="1" fillId="0" borderId="14" xfId="0" applyFont="1" applyBorder="1"/>
    <xf numFmtId="0" fontId="1" fillId="33" borderId="0" xfId="0" applyFont="1" applyFill="1"/>
    <xf numFmtId="0" fontId="1" fillId="0" borderId="0" xfId="0" applyFont="1"/>
    <xf numFmtId="0" fontId="0" fillId="0" borderId="13" xfId="0" applyBorder="1" applyAlignment="1">
      <alignment vertical="center"/>
    </xf>
    <xf numFmtId="0" fontId="23" fillId="34" borderId="15" xfId="42" applyFont="1" applyFill="1" applyBorder="1" applyAlignment="1">
      <alignment horizontal="center" vertical="center"/>
    </xf>
    <xf numFmtId="0" fontId="0" fillId="0" borderId="14" xfId="0" applyBorder="1" applyAlignment="1">
      <alignment vertical="center"/>
    </xf>
    <xf numFmtId="0" fontId="0" fillId="33" borderId="0" xfId="0" applyFill="1" applyAlignment="1">
      <alignment vertical="center"/>
    </xf>
    <xf numFmtId="0" fontId="24" fillId="0" borderId="0" xfId="42" applyFont="1" applyFill="1" applyBorder="1"/>
    <xf numFmtId="0" fontId="25" fillId="0" borderId="16" xfId="0" applyFont="1" applyBorder="1"/>
    <xf numFmtId="0" fontId="0" fillId="0" borderId="0" xfId="0" applyAlignment="1">
      <alignment vertical="top" wrapText="1"/>
    </xf>
    <xf numFmtId="0" fontId="0" fillId="0" borderId="17" xfId="0" applyBorder="1"/>
    <xf numFmtId="0" fontId="0" fillId="0" borderId="16" xfId="0" applyBorder="1"/>
    <xf numFmtId="0" fontId="0" fillId="0" borderId="18" xfId="0" applyBorder="1"/>
    <xf numFmtId="14" fontId="0" fillId="0" borderId="0" xfId="0" applyNumberFormat="1"/>
    <xf numFmtId="3" fontId="16" fillId="0" borderId="0" xfId="0" applyNumberFormat="1" applyFont="1"/>
    <xf numFmtId="3" fontId="0" fillId="0" borderId="0" xfId="0" applyNumberFormat="1"/>
    <xf numFmtId="0" fontId="0" fillId="0" borderId="0" xfId="0" applyAlignment="1">
      <alignment horizontal="left"/>
    </xf>
    <xf numFmtId="0" fontId="0" fillId="0" borderId="0" xfId="0" applyNumberFormat="1"/>
    <xf numFmtId="1" fontId="0" fillId="0" borderId="0" xfId="0" applyNumberFormat="1"/>
    <xf numFmtId="0" fontId="26" fillId="35" borderId="0" xfId="0" applyFont="1" applyFill="1"/>
    <xf numFmtId="173" fontId="0" fillId="0" borderId="0" xfId="0" applyNumberFormat="1"/>
    <xf numFmtId="0" fontId="27" fillId="35" borderId="0" xfId="0" applyFont="1" applyFill="1"/>
    <xf numFmtId="49" fontId="0" fillId="0" borderId="0" xfId="0" applyNumberFormat="1" applyAlignment="1">
      <alignment horizontal="left"/>
    </xf>
    <xf numFmtId="173" fontId="16" fillId="0" borderId="0" xfId="0" applyNumberFormat="1" applyFont="1"/>
    <xf numFmtId="0" fontId="0" fillId="36" borderId="0" xfId="0" applyFill="1"/>
    <xf numFmtId="0" fontId="0" fillId="37" borderId="0" xfId="0" applyFill="1" applyAlignment="1">
      <alignment horizontal="left"/>
    </xf>
    <xf numFmtId="0" fontId="0" fillId="37" borderId="0" xfId="0" applyNumberFormat="1" applyFill="1"/>
    <xf numFmtId="173" fontId="0" fillId="37" borderId="0" xfId="0" applyNumberFormat="1" applyFill="1"/>
    <xf numFmtId="49" fontId="0" fillId="37" borderId="0" xfId="0" applyNumberFormat="1" applyFill="1" applyAlignment="1">
      <alignment horizontal="left"/>
    </xf>
    <xf numFmtId="0" fontId="29" fillId="38"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79998168889431442"/>
        </patternFill>
      </fill>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bgColor theme="9" tint="0.7999816888943144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theme="9" tint="0.39997558519241921"/>
        </patternFill>
      </fill>
    </dxf>
    <dxf>
      <fill>
        <patternFill patternType="solid">
          <bgColor rgb="FF004300"/>
        </patternFill>
      </fill>
    </dxf>
    <dxf>
      <numFmt numFmtId="3" formatCode="#,##0"/>
    </dxf>
    <dxf>
      <numFmt numFmtId="173" formatCode="\$#,##0.0,&quot;B&quot;"/>
    </dxf>
    <dxf>
      <numFmt numFmtId="1" formatCode="0"/>
    </dxf>
    <dxf>
      <numFmt numFmtId="173" formatCode="\$#,##0.0,&quot;B&quot;"/>
    </dxf>
    <dxf>
      <numFmt numFmtId="173" formatCode="\$#,##0.0,&quot;B&quot;"/>
    </dxf>
    <dxf>
      <numFmt numFmtId="173" formatCode="\$#,##0.0,&quot;B&quot;"/>
    </dxf>
    <dxf>
      <numFmt numFmtId="173" formatCode="\$#,##0.0,&quot;B&quot;"/>
    </dxf>
    <dxf>
      <font>
        <b/>
        <i val="0"/>
        <strike val="0"/>
        <condense val="0"/>
        <extend val="0"/>
        <outline val="0"/>
        <shadow val="0"/>
        <u val="none"/>
        <vertAlign val="baseline"/>
        <sz val="12"/>
        <color theme="1"/>
        <name val="Calibri"/>
        <family val="2"/>
        <scheme val="minor"/>
      </font>
    </dxf>
    <dxf>
      <numFmt numFmtId="19" formatCode="dd/mm/yyyy"/>
    </dxf>
    <dxf>
      <numFmt numFmtId="19" formatCode="dd/mm/yyyy"/>
    </dxf>
    <dxf>
      <numFmt numFmtId="1" formatCode="0"/>
    </dxf>
  </dxfs>
  <tableStyles count="0" defaultTableStyle="TableStyleMedium2" defaultPivotStyle="PivotStyleLight16"/>
  <colors>
    <mruColors>
      <color rgb="FF548235"/>
      <color rgb="FFC5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.xlsx]Calc!PivotTable7</c:name>
    <c:fmtId val="1"/>
  </c:pivotSource>
  <c:chart>
    <c:autoTitleDeleted val="1"/>
    <c:pivotFmts>
      <c:pivotFmt>
        <c:idx val="0"/>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5964566929134"/>
          <c:y val="0.21289151356080491"/>
          <c:w val="0.67362576552930886"/>
          <c:h val="0.73618256051326914"/>
        </c:manualLayout>
      </c:layout>
      <c:barChart>
        <c:barDir val="bar"/>
        <c:grouping val="clustered"/>
        <c:varyColors val="0"/>
        <c:ser>
          <c:idx val="0"/>
          <c:order val="0"/>
          <c:tx>
            <c:strRef>
              <c:f>Calc!$F$4</c:f>
              <c:strCache>
                <c:ptCount val="1"/>
                <c:pt idx="0">
                  <c:v>Total</c:v>
                </c:pt>
              </c:strCache>
            </c:strRef>
          </c:tx>
          <c:spPr>
            <a:solidFill>
              <a:srgbClr val="5482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Calc!$E$5:$E$15</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Calc!$F$5:$F$15</c:f>
              <c:numCache>
                <c:formatCode>\$#,##0.0,"B"</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C880-444A-AC55-8901B444CD4B}"/>
            </c:ext>
          </c:extLst>
        </c:ser>
        <c:dLbls>
          <c:showLegendKey val="0"/>
          <c:showVal val="1"/>
          <c:showCatName val="0"/>
          <c:showSerName val="0"/>
          <c:showPercent val="0"/>
          <c:showBubbleSize val="0"/>
        </c:dLbls>
        <c:gapWidth val="50"/>
        <c:axId val="1584392048"/>
        <c:axId val="1584389168"/>
      </c:barChart>
      <c:catAx>
        <c:axId val="15843920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389168"/>
        <c:crosses val="autoZero"/>
        <c:auto val="1"/>
        <c:lblAlgn val="ctr"/>
        <c:lblOffset val="100"/>
        <c:noMultiLvlLbl val="0"/>
      </c:catAx>
      <c:valAx>
        <c:axId val="1584389168"/>
        <c:scaling>
          <c:orientation val="minMax"/>
        </c:scaling>
        <c:delete val="1"/>
        <c:axPos val="t"/>
        <c:title>
          <c:tx>
            <c:rich>
              <a:bodyPr rot="0" spcFirstLastPara="1" vertOverflow="ellipsis" vert="horz" wrap="square" anchor="ctr" anchorCtr="1"/>
              <a:lstStyle/>
              <a:p>
                <a:pPr>
                  <a:defRPr sz="1800" b="1" i="0" u="none" strike="noStrike" kern="1200" baseline="0">
                    <a:solidFill>
                      <a:srgbClr val="548235"/>
                    </a:solidFill>
                    <a:latin typeface="+mn-lt"/>
                    <a:ea typeface="+mn-ea"/>
                    <a:cs typeface="+mn-cs"/>
                  </a:defRPr>
                </a:pPr>
                <a:r>
                  <a:rPr lang="en-GB" sz="1800" b="1" i="0" u="none" strike="noStrike" baseline="0">
                    <a:solidFill>
                      <a:srgbClr val="548235"/>
                    </a:solidFill>
                  </a:rPr>
                  <a:t>Top 10 Billionaires by Net Worth</a:t>
                </a:r>
                <a:endParaRPr lang="en-GB" sz="1800" b="1">
                  <a:solidFill>
                    <a:srgbClr val="548235"/>
                  </a:solidFill>
                </a:endParaRPr>
              </a:p>
            </c:rich>
          </c:tx>
          <c:layout>
            <c:manualLayout>
              <c:xMode val="edge"/>
              <c:yMode val="edge"/>
              <c:x val="0.19270837038824057"/>
              <c:y val="5.9738156977681013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548235"/>
                  </a:solidFill>
                  <a:latin typeface="+mn-lt"/>
                  <a:ea typeface="+mn-ea"/>
                  <a:cs typeface="+mn-cs"/>
                </a:defRPr>
              </a:pPr>
              <a:endParaRPr lang="en-US"/>
            </a:p>
          </c:txPr>
        </c:title>
        <c:numFmt formatCode="\$#,##0.0,&quot;B&quot;" sourceLinked="1"/>
        <c:majorTickMark val="none"/>
        <c:minorTickMark val="none"/>
        <c:tickLblPos val="nextTo"/>
        <c:crossAx val="15843920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.xlsx]Calc!PivotTable16</c:name>
    <c:fmtId val="11"/>
  </c:pivotSource>
  <c:chart>
    <c:title>
      <c:tx>
        <c:rich>
          <a:bodyPr rot="0" spcFirstLastPara="1" vertOverflow="ellipsis" vert="horz" wrap="square" anchor="ctr" anchorCtr="1"/>
          <a:lstStyle/>
          <a:p>
            <a:pPr>
              <a:defRPr sz="2000" b="1" i="0" u="none" strike="noStrike" kern="1200" spc="0" baseline="0">
                <a:solidFill>
                  <a:srgbClr val="548235"/>
                </a:solidFill>
                <a:latin typeface="+mn-lt"/>
                <a:ea typeface="+mn-ea"/>
                <a:cs typeface="+mn-cs"/>
              </a:defRPr>
            </a:pPr>
            <a:r>
              <a:rPr lang="en-US" sz="2000" b="1">
                <a:solidFill>
                  <a:srgbClr val="548235"/>
                </a:solidFill>
              </a:rPr>
              <a:t>Wealth</a:t>
            </a:r>
            <a:r>
              <a:rPr lang="en-US" sz="2000" b="1" baseline="0">
                <a:solidFill>
                  <a:srgbClr val="548235"/>
                </a:solidFill>
              </a:rPr>
              <a:t> by Industry </a:t>
            </a:r>
          </a:p>
        </c:rich>
      </c:tx>
      <c:layout>
        <c:manualLayout>
          <c:xMode val="edge"/>
          <c:yMode val="edge"/>
          <c:x val="0.26376309371565182"/>
          <c:y val="2.4326426160677001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rgbClr val="548235"/>
              </a:solidFill>
              <a:latin typeface="+mn-lt"/>
              <a:ea typeface="+mn-ea"/>
              <a:cs typeface="+mn-cs"/>
            </a:defRPr>
          </a:pPr>
          <a:endParaRPr lang="en-US"/>
        </a:p>
      </c:txPr>
    </c:title>
    <c:autoTitleDeleted val="0"/>
    <c:pivotFmts>
      <c:pivotFmt>
        <c:idx val="0"/>
        <c:spPr>
          <a:solidFill>
            <a:srgbClr val="548235"/>
          </a:solidFill>
          <a:ln>
            <a:noFill/>
          </a:ln>
          <a:effectLst/>
          <a:scene3d>
            <a:camera prst="orthographicFront"/>
            <a:lightRig rig="threePt" dir="t"/>
          </a:scene3d>
          <a:sp3d>
            <a:bevelT w="0"/>
          </a:sp3d>
        </c:spPr>
        <c:marker>
          <c:symbol val="none"/>
        </c:marker>
        <c:dLbl>
          <c:idx val="0"/>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548235"/>
          </a:solidFill>
          <a:ln>
            <a:noFill/>
          </a:ln>
          <a:effectLst/>
          <a:scene3d>
            <a:camera prst="orthographicFront"/>
            <a:lightRig rig="threePt" dir="t"/>
          </a:scene3d>
          <a:sp3d>
            <a:bevelT w="0"/>
          </a:sp3d>
        </c:spPr>
        <c:dLbl>
          <c:idx val="0"/>
          <c:layout>
            <c:manualLayout>
              <c:x val="0.29524769529466094"/>
              <c:y val="-6.399295134477266E-5"/>
            </c:manualLayout>
          </c:layout>
          <c:tx>
            <c:rich>
              <a:bodyPr rot="0" spcFirstLastPara="1" vertOverflow="ellipsis" vert="horz" wrap="none" lIns="0" tIns="19050" rIns="0" bIns="19050" anchor="ctr" anchorCtr="1">
                <a:spAutoFit/>
              </a:bodyPr>
              <a:lstStyle/>
              <a:p>
                <a:pPr>
                  <a:defRPr sz="900" b="0" i="0" u="none" strike="noStrike" kern="1200" baseline="0">
                    <a:solidFill>
                      <a:schemeClr val="tx1"/>
                    </a:solidFill>
                    <a:latin typeface="+mn-lt"/>
                    <a:ea typeface="+mn-ea"/>
                    <a:cs typeface="+mn-cs"/>
                  </a:defRPr>
                </a:pPr>
                <a:fld id="{EA17FF90-7DC2-4D0C-B5AD-EC401CC77672}" type="VALUE">
                  <a:rPr lang="en-US" sz="1000" b="0">
                    <a:solidFill>
                      <a:schemeClr val="tx1"/>
                    </a:solidFill>
                  </a:rPr>
                  <a:pPr>
                    <a:defRPr>
                      <a:solidFill>
                        <a:schemeClr val="tx1"/>
                      </a:solidFill>
                    </a:defRPr>
                  </a:pPr>
                  <a:t>[VALUE]</a:t>
                </a:fld>
                <a:endParaRPr lang="en-GB"/>
              </a:p>
            </c:rich>
          </c:tx>
          <c:spPr>
            <a:noFill/>
            <a:ln>
              <a:noFill/>
            </a:ln>
            <a:effectLst>
              <a:softEdge rad="292100"/>
            </a:effectLst>
          </c:spPr>
          <c:txPr>
            <a:bodyPr rot="0" spcFirstLastPara="1" vertOverflow="ellipsis" vert="horz" wrap="none" lIns="0" tIns="19050" rIns="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
        <c:spPr>
          <a:solidFill>
            <a:srgbClr val="548235"/>
          </a:solidFill>
          <a:ln>
            <a:noFill/>
          </a:ln>
          <a:effectLst/>
          <a:scene3d>
            <a:camera prst="orthographicFront"/>
            <a:lightRig rig="threePt" dir="t"/>
          </a:scene3d>
          <a:sp3d>
            <a:bevelT w="0"/>
          </a:sp3d>
        </c:spPr>
        <c:dLbl>
          <c:idx val="0"/>
          <c:layout>
            <c:manualLayout>
              <c:x val="0.13599054455284412"/>
              <c:y val="-2.0545105431755392E-5"/>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548235"/>
          </a:solidFill>
          <a:ln>
            <a:noFill/>
          </a:ln>
          <a:effectLst/>
          <a:scene3d>
            <a:camera prst="orthographicFront"/>
            <a:lightRig rig="threePt" dir="t"/>
          </a:scene3d>
          <a:sp3d>
            <a:bevelT w="0"/>
          </a:sp3d>
        </c:spPr>
        <c:dLbl>
          <c:idx val="0"/>
          <c:layout>
            <c:manualLayout>
              <c:x val="0.20827257486737699"/>
              <c:y val="2.761047364663122E-7"/>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548235"/>
          </a:solidFill>
          <a:ln>
            <a:noFill/>
          </a:ln>
          <a:effectLst/>
          <a:scene3d>
            <a:camera prst="orthographicFront"/>
            <a:lightRig rig="threePt" dir="t"/>
          </a:scene3d>
          <a:sp3d>
            <a:bevelT w="0"/>
          </a:sp3d>
        </c:spPr>
        <c:dLbl>
          <c:idx val="0"/>
          <c:layout>
            <c:manualLayout>
              <c:x val="0.15309452136235743"/>
              <c:y val="2.761047364663122E-7"/>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548235"/>
          </a:solidFill>
          <a:ln>
            <a:noFill/>
          </a:ln>
          <a:effectLst/>
          <a:scene3d>
            <a:camera prst="orthographicFront"/>
            <a:lightRig rig="threePt" dir="t"/>
          </a:scene3d>
          <a:sp3d>
            <a:bevelT w="0"/>
          </a:sp3d>
        </c:spPr>
        <c:dLbl>
          <c:idx val="0"/>
          <c:layout>
            <c:manualLayout>
              <c:x val="0.14235453656553065"/>
              <c:y val="-3.4629056047604874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6348176327541672"/>
          <c:y val="0.1562131572742278"/>
          <c:w val="0.53660115115158569"/>
          <c:h val="0.78729305020967577"/>
        </c:manualLayout>
      </c:layout>
      <c:barChart>
        <c:barDir val="bar"/>
        <c:grouping val="stacked"/>
        <c:varyColors val="0"/>
        <c:ser>
          <c:idx val="0"/>
          <c:order val="0"/>
          <c:tx>
            <c:strRef>
              <c:f>Calc!$B$12</c:f>
              <c:strCache>
                <c:ptCount val="1"/>
                <c:pt idx="0">
                  <c:v>Total</c:v>
                </c:pt>
              </c:strCache>
            </c:strRef>
          </c:tx>
          <c:spPr>
            <a:solidFill>
              <a:srgbClr val="548235"/>
            </a:solidFill>
            <a:ln>
              <a:noFill/>
            </a:ln>
            <a:effectLst/>
            <a:scene3d>
              <a:camera prst="orthographicFront"/>
              <a:lightRig rig="threePt" dir="t"/>
            </a:scene3d>
            <a:sp3d>
              <a:bevelT w="0"/>
            </a:sp3d>
          </c:spPr>
          <c:invertIfNegative val="0"/>
          <c:dLbls>
            <c:dLbl>
              <c:idx val="0"/>
              <c:layout>
                <c:manualLayout>
                  <c:x val="0.29524769529466094"/>
                  <c:y val="-6.399295134477266E-5"/>
                </c:manualLayout>
              </c:layout>
              <c:tx>
                <c:rich>
                  <a:bodyPr rot="0" spcFirstLastPara="1" vertOverflow="ellipsis" vert="horz" wrap="none" lIns="0" tIns="19050" rIns="0" bIns="19050" anchor="ctr" anchorCtr="1">
                    <a:spAutoFit/>
                  </a:bodyPr>
                  <a:lstStyle/>
                  <a:p>
                    <a:pPr>
                      <a:defRPr sz="900" b="0" i="0" u="none" strike="noStrike" kern="1200" baseline="0">
                        <a:solidFill>
                          <a:schemeClr val="tx1"/>
                        </a:solidFill>
                        <a:latin typeface="+mn-lt"/>
                        <a:ea typeface="+mn-ea"/>
                        <a:cs typeface="+mn-cs"/>
                      </a:defRPr>
                    </a:pPr>
                    <a:fld id="{EA17FF90-7DC2-4D0C-B5AD-EC401CC77672}" type="VALUE">
                      <a:rPr lang="en-US" sz="1000" b="0">
                        <a:solidFill>
                          <a:schemeClr val="tx1"/>
                        </a:solidFill>
                      </a:rPr>
                      <a:pPr>
                        <a:defRPr>
                          <a:solidFill>
                            <a:schemeClr val="tx1"/>
                          </a:solidFill>
                        </a:defRPr>
                      </a:pPr>
                      <a:t>[VALUE]</a:t>
                    </a:fld>
                    <a:endParaRPr lang="en-GB"/>
                  </a:p>
                </c:rich>
              </c:tx>
              <c:spPr>
                <a:noFill/>
                <a:ln>
                  <a:noFill/>
                </a:ln>
                <a:effectLst>
                  <a:softEdge rad="292100"/>
                </a:effectLst>
              </c:spPr>
              <c:txPr>
                <a:bodyPr rot="0" spcFirstLastPara="1" vertOverflow="ellipsis" vert="horz" wrap="none" lIns="0" tIns="19050" rIns="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2-2D3D-4A97-A111-33508AE0AA99}"/>
                </c:ext>
              </c:extLst>
            </c:dLbl>
            <c:dLbl>
              <c:idx val="1"/>
              <c:layout>
                <c:manualLayout>
                  <c:x val="0.13599054455284412"/>
                  <c:y val="-2.0545105431755392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3D-4A97-A111-33508AE0AA99}"/>
                </c:ext>
              </c:extLst>
            </c:dLbl>
            <c:dLbl>
              <c:idx val="2"/>
              <c:layout>
                <c:manualLayout>
                  <c:x val="0.20827257486737699"/>
                  <c:y val="2.761047364663122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3D-4A97-A111-33508AE0AA99}"/>
                </c:ext>
              </c:extLst>
            </c:dLbl>
            <c:dLbl>
              <c:idx val="3"/>
              <c:layout>
                <c:manualLayout>
                  <c:x val="0.15309452136235743"/>
                  <c:y val="2.761047364663122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3D-4A97-A111-33508AE0AA99}"/>
                </c:ext>
              </c:extLst>
            </c:dLbl>
            <c:dLbl>
              <c:idx val="4"/>
              <c:layout>
                <c:manualLayout>
                  <c:x val="0.14235453656553065"/>
                  <c:y val="-3.462905604760487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D3D-4A97-A111-33508AE0AA99}"/>
                </c:ext>
              </c:extLst>
            </c:dLbl>
            <c:dLbl>
              <c:idx val="5"/>
              <c:layout>
                <c:manualLayout>
                  <c:x val="0.13599054455284412"/>
                  <c:y val="-2.0545105431755392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D3D-4A97-A111-33508AE0AA99}"/>
                </c:ext>
              </c:extLst>
            </c:dLbl>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noFill/>
                      <a:round/>
                    </a:ln>
                    <a:effectLst/>
                  </c:spPr>
                </c15:leaderLines>
              </c:ext>
            </c:extLst>
          </c:dLbls>
          <c:cat>
            <c:strRef>
              <c:f>Calc!$A$13:$A$19</c:f>
              <c:strCache>
                <c:ptCount val="6"/>
                <c:pt idx="0">
                  <c:v>Technology</c:v>
                </c:pt>
                <c:pt idx="1">
                  <c:v>Fashion &amp; Retail</c:v>
                </c:pt>
                <c:pt idx="2">
                  <c:v>Finance &amp; Investments</c:v>
                </c:pt>
                <c:pt idx="3">
                  <c:v>Food &amp; Beverage</c:v>
                </c:pt>
                <c:pt idx="4">
                  <c:v>Diversified</c:v>
                </c:pt>
                <c:pt idx="5">
                  <c:v>Manufacturing</c:v>
                </c:pt>
              </c:strCache>
            </c:strRef>
          </c:cat>
          <c:val>
            <c:numRef>
              <c:f>Calc!$B$13:$B$19</c:f>
              <c:numCache>
                <c:formatCode>\$#,##0.0,"B"</c:formatCode>
                <c:ptCount val="6"/>
                <c:pt idx="0">
                  <c:v>1299800</c:v>
                </c:pt>
                <c:pt idx="1">
                  <c:v>1160200</c:v>
                </c:pt>
                <c:pt idx="2">
                  <c:v>882000</c:v>
                </c:pt>
                <c:pt idx="3">
                  <c:v>567800</c:v>
                </c:pt>
                <c:pt idx="4">
                  <c:v>492400</c:v>
                </c:pt>
                <c:pt idx="5">
                  <c:v>423400</c:v>
                </c:pt>
              </c:numCache>
            </c:numRef>
          </c:val>
          <c:extLst>
            <c:ext xmlns:c16="http://schemas.microsoft.com/office/drawing/2014/chart" uri="{C3380CC4-5D6E-409C-BE32-E72D297353CC}">
              <c16:uniqueId val="{00000000-2D3D-4A97-A111-33508AE0AA99}"/>
            </c:ext>
          </c:extLst>
        </c:ser>
        <c:dLbls>
          <c:showLegendKey val="0"/>
          <c:showVal val="1"/>
          <c:showCatName val="0"/>
          <c:showSerName val="0"/>
          <c:showPercent val="0"/>
          <c:showBubbleSize val="0"/>
        </c:dLbls>
        <c:gapWidth val="48"/>
        <c:axId val="694161568"/>
        <c:axId val="694162048"/>
      </c:barChart>
      <c:catAx>
        <c:axId val="694161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94162048"/>
        <c:crosses val="autoZero"/>
        <c:auto val="1"/>
        <c:lblAlgn val="ctr"/>
        <c:lblOffset val="100"/>
        <c:noMultiLvlLbl val="0"/>
      </c:catAx>
      <c:valAx>
        <c:axId val="694162048"/>
        <c:scaling>
          <c:orientation val="minMax"/>
        </c:scaling>
        <c:delete val="1"/>
        <c:axPos val="t"/>
        <c:numFmt formatCode="\$#,##0.0,&quot;B&quot;" sourceLinked="1"/>
        <c:majorTickMark val="none"/>
        <c:minorTickMark val="none"/>
        <c:tickLblPos val="nextTo"/>
        <c:crossAx val="694161568"/>
        <c:crosses val="autoZero"/>
        <c:crossBetween val="between"/>
      </c:valAx>
      <c:spPr>
        <a:noFill/>
        <a:ln w="0">
          <a:noFill/>
        </a:ln>
        <a:effectLst>
          <a:softEdge rad="3683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.xlsx]Calc!PivotTable10</c:name>
    <c:fmtId val="9"/>
  </c:pivotSource>
  <c:chart>
    <c:title>
      <c:tx>
        <c:rich>
          <a:bodyPr rot="0" spcFirstLastPara="1" vertOverflow="ellipsis" vert="horz" wrap="square" anchor="ctr" anchorCtr="1"/>
          <a:lstStyle/>
          <a:p>
            <a:pPr>
              <a:defRPr sz="2400" b="1" i="0" u="none" strike="noStrike" kern="1200" spc="0" baseline="0">
                <a:solidFill>
                  <a:srgbClr val="548235"/>
                </a:solidFill>
                <a:latin typeface="+mn-lt"/>
                <a:ea typeface="+mn-ea"/>
                <a:cs typeface="+mn-cs"/>
              </a:defRPr>
            </a:pPr>
            <a:r>
              <a:rPr lang="en-US" sz="2400" b="1">
                <a:solidFill>
                  <a:srgbClr val="548235"/>
                </a:solidFill>
              </a:rPr>
              <a:t>Male</a:t>
            </a:r>
            <a:r>
              <a:rPr lang="en-US" sz="2400" b="1" baseline="0">
                <a:solidFill>
                  <a:srgbClr val="548235"/>
                </a:solidFill>
              </a:rPr>
              <a:t> and female (count)</a:t>
            </a:r>
            <a:endParaRPr lang="en-US" sz="2400" b="1">
              <a:solidFill>
                <a:srgbClr val="548235"/>
              </a:solidFill>
            </a:endParaRPr>
          </a:p>
        </c:rich>
      </c:tx>
      <c:layout>
        <c:manualLayout>
          <c:xMode val="edge"/>
          <c:yMode val="edge"/>
          <c:x val="4.5974877391809617E-2"/>
          <c:y val="3.7371846934331487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rgbClr val="548235"/>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rgbClr val="548235"/>
          </a:solidFill>
          <a:ln w="19050">
            <a:noFill/>
          </a:ln>
          <a:effectLst/>
        </c:spPr>
        <c:dLbl>
          <c:idx val="0"/>
          <c:layout>
            <c:manualLayout>
              <c:x val="0.45736312411755881"/>
              <c:y val="-0.25118939333182067"/>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r>
                  <a:rPr lang="en-US"/>
                  <a:t>(</a:t>
                </a:r>
                <a:fld id="{5578D174-D54C-4F06-90BC-0D0EF3DEE7B8}" type="VALUE">
                  <a:rPr lang="en-US"/>
                  <a:pPr>
                    <a:defRPr sz="1050"/>
                  </a:pPr>
                  <a:t>[VALUE]</a:t>
                </a:fld>
                <a:r>
                  <a:rPr lang="en-US" baseline="0"/>
                  <a:t>) </a:t>
                </a:r>
                <a:fld id="{921B4C1E-71C5-4C16-BF40-8FFC5E904A26}" type="PERCENTAGE">
                  <a:rPr lang="en-US" baseline="0"/>
                  <a:pPr>
                    <a:defRPr sz="1050"/>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4"/>
        <c:spPr>
          <a:solidFill>
            <a:srgbClr val="C5E0B4"/>
          </a:solidFill>
          <a:ln w="19050">
            <a:noFill/>
          </a:ln>
          <a:effectLst/>
        </c:spPr>
        <c:dLbl>
          <c:idx val="0"/>
          <c:layout>
            <c:manualLayout>
              <c:x val="0.37848815777576628"/>
              <c:y val="5.7780838888537328E-2"/>
            </c:manualLayout>
          </c:layout>
          <c:tx>
            <c:rich>
              <a:bodyPr rot="0" spcFirstLastPara="1" vertOverflow="ellipsis" vert="horz" wrap="none" lIns="38100" tIns="19050" rIns="38100" bIns="19050" anchor="ctr" anchorCtr="1">
                <a:spAutoFit/>
              </a:bodyPr>
              <a:lstStyle/>
              <a:p>
                <a:pPr>
                  <a:defRPr sz="1050" b="0" i="0" u="none" strike="noStrike" kern="1200" baseline="0">
                    <a:solidFill>
                      <a:sysClr val="windowText" lastClr="000000">
                        <a:lumMod val="75000"/>
                        <a:lumOff val="25000"/>
                      </a:sysClr>
                    </a:solidFill>
                    <a:latin typeface="+mn-lt"/>
                    <a:ea typeface="+mn-ea"/>
                    <a:cs typeface="+mn-cs"/>
                  </a:defRPr>
                </a:pPr>
                <a:r>
                  <a:rPr lang="en-US" sz="1050">
                    <a:solidFill>
                      <a:sysClr val="windowText" lastClr="000000">
                        <a:lumMod val="75000"/>
                        <a:lumOff val="25000"/>
                      </a:sysClr>
                    </a:solidFill>
                  </a:rPr>
                  <a:t>(</a:t>
                </a:r>
                <a:fld id="{70222B88-A1CB-4A27-84F3-BDE016854527}" type="VALUE">
                  <a:rPr lang="en-US" sz="1050">
                    <a:solidFill>
                      <a:sysClr val="windowText" lastClr="000000">
                        <a:lumMod val="75000"/>
                        <a:lumOff val="25000"/>
                      </a:sysClr>
                    </a:solidFill>
                  </a:rPr>
                  <a:pPr>
                    <a:defRPr sz="1050">
                      <a:solidFill>
                        <a:sysClr val="windowText" lastClr="000000">
                          <a:lumMod val="75000"/>
                          <a:lumOff val="25000"/>
                        </a:sysClr>
                      </a:solidFill>
                    </a:defRPr>
                  </a:pPr>
                  <a:t>[VALUE]</a:t>
                </a:fld>
                <a:r>
                  <a:rPr lang="en-US" sz="1050" baseline="0">
                    <a:solidFill>
                      <a:sysClr val="windowText" lastClr="000000">
                        <a:lumMod val="75000"/>
                        <a:lumOff val="25000"/>
                      </a:sysClr>
                    </a:solidFill>
                  </a:rPr>
                  <a:t>) </a:t>
                </a:r>
                <a:fld id="{38853CD7-A655-426C-8744-373A34B5B432}" type="PERCENTAGE">
                  <a:rPr lang="en-US" sz="1050" baseline="0">
                    <a:solidFill>
                      <a:sysClr val="windowText" lastClr="000000">
                        <a:lumMod val="75000"/>
                        <a:lumOff val="25000"/>
                      </a:sysClr>
                    </a:solidFill>
                  </a:rPr>
                  <a:pPr>
                    <a:defRPr sz="1050">
                      <a:solidFill>
                        <a:sysClr val="windowText" lastClr="000000">
                          <a:lumMod val="75000"/>
                          <a:lumOff val="25000"/>
                        </a:sysClr>
                      </a:solidFill>
                    </a:defRPr>
                  </a:pPr>
                  <a:t>[PERCENTAGE]</a:t>
                </a:fld>
                <a:endParaRPr lang="en-US" sz="1050" baseline="0">
                  <a:solidFill>
                    <a:sysClr val="windowText" lastClr="000000">
                      <a:lumMod val="75000"/>
                      <a:lumOff val="25000"/>
                    </a:sysClr>
                  </a:solidFill>
                </a:endParaRPr>
              </a:p>
            </c:rich>
          </c:tx>
          <c:numFmt formatCode="0%" sourceLinked="0"/>
          <c:spPr>
            <a:noFill/>
            <a:ln>
              <a:noFill/>
            </a:ln>
            <a:effectLst/>
          </c:spPr>
          <c:txPr>
            <a:bodyPr rot="0" spcFirstLastPara="1" vertOverflow="ellipsis" vert="horz" wrap="none" lIns="38100" tIns="19050" rIns="38100" bIns="19050" anchor="ctr" anchorCtr="1">
              <a:spAutoFit/>
            </a:bodyPr>
            <a:lstStyle/>
            <a:p>
              <a:pPr>
                <a:defRPr sz="105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s>
    <c:plotArea>
      <c:layout/>
      <c:doughnutChart>
        <c:varyColors val="1"/>
        <c:ser>
          <c:idx val="0"/>
          <c:order val="0"/>
          <c:tx>
            <c:strRef>
              <c:f>Calc!$B$7</c:f>
              <c:strCache>
                <c:ptCount val="1"/>
                <c:pt idx="0">
                  <c:v>Total</c:v>
                </c:pt>
              </c:strCache>
            </c:strRef>
          </c:tx>
          <c:spPr>
            <a:ln>
              <a:noFill/>
            </a:ln>
          </c:spPr>
          <c:dPt>
            <c:idx val="0"/>
            <c:bubble3D val="0"/>
            <c:spPr>
              <a:solidFill>
                <a:srgbClr val="C5E0B4"/>
              </a:solidFill>
              <a:ln w="19050">
                <a:noFill/>
              </a:ln>
              <a:effectLst/>
            </c:spPr>
            <c:extLst>
              <c:ext xmlns:c16="http://schemas.microsoft.com/office/drawing/2014/chart" uri="{C3380CC4-5D6E-409C-BE32-E72D297353CC}">
                <c16:uniqueId val="{00000005-9973-4F0A-93B5-F0CEBF86DB80}"/>
              </c:ext>
            </c:extLst>
          </c:dPt>
          <c:dPt>
            <c:idx val="1"/>
            <c:bubble3D val="0"/>
            <c:spPr>
              <a:solidFill>
                <a:srgbClr val="548235"/>
              </a:solidFill>
              <a:ln w="19050">
                <a:noFill/>
              </a:ln>
              <a:effectLst/>
            </c:spPr>
            <c:extLst>
              <c:ext xmlns:c16="http://schemas.microsoft.com/office/drawing/2014/chart" uri="{C3380CC4-5D6E-409C-BE32-E72D297353CC}">
                <c16:uniqueId val="{00000004-9973-4F0A-93B5-F0CEBF86DB80}"/>
              </c:ext>
            </c:extLst>
          </c:dPt>
          <c:dLbls>
            <c:dLbl>
              <c:idx val="0"/>
              <c:layout>
                <c:manualLayout>
                  <c:x val="0.37848815777576628"/>
                  <c:y val="5.7780838888537328E-2"/>
                </c:manualLayout>
              </c:layout>
              <c:tx>
                <c:rich>
                  <a:bodyPr rot="0" spcFirstLastPara="1" vertOverflow="ellipsis" vert="horz" wrap="none" lIns="38100" tIns="19050" rIns="38100" bIns="19050" anchor="ctr" anchorCtr="1">
                    <a:spAutoFit/>
                  </a:bodyPr>
                  <a:lstStyle/>
                  <a:p>
                    <a:pPr>
                      <a:defRPr sz="1050" b="0" i="0" u="none" strike="noStrike" kern="1200" baseline="0">
                        <a:solidFill>
                          <a:sysClr val="windowText" lastClr="000000">
                            <a:lumMod val="75000"/>
                            <a:lumOff val="25000"/>
                          </a:sysClr>
                        </a:solidFill>
                        <a:latin typeface="+mn-lt"/>
                        <a:ea typeface="+mn-ea"/>
                        <a:cs typeface="+mn-cs"/>
                      </a:defRPr>
                    </a:pPr>
                    <a:r>
                      <a:rPr lang="en-US" sz="1050">
                        <a:solidFill>
                          <a:sysClr val="windowText" lastClr="000000">
                            <a:lumMod val="75000"/>
                            <a:lumOff val="25000"/>
                          </a:sysClr>
                        </a:solidFill>
                      </a:rPr>
                      <a:t>(</a:t>
                    </a:r>
                    <a:fld id="{70222B88-A1CB-4A27-84F3-BDE016854527}" type="VALUE">
                      <a:rPr lang="en-US" sz="1050">
                        <a:solidFill>
                          <a:sysClr val="windowText" lastClr="000000">
                            <a:lumMod val="75000"/>
                            <a:lumOff val="25000"/>
                          </a:sysClr>
                        </a:solidFill>
                      </a:rPr>
                      <a:pPr>
                        <a:defRPr sz="1050">
                          <a:solidFill>
                            <a:sysClr val="windowText" lastClr="000000">
                              <a:lumMod val="75000"/>
                              <a:lumOff val="25000"/>
                            </a:sysClr>
                          </a:solidFill>
                        </a:defRPr>
                      </a:pPr>
                      <a:t>[VALUE]</a:t>
                    </a:fld>
                    <a:r>
                      <a:rPr lang="en-US" sz="1050" baseline="0">
                        <a:solidFill>
                          <a:sysClr val="windowText" lastClr="000000">
                            <a:lumMod val="75000"/>
                            <a:lumOff val="25000"/>
                          </a:sysClr>
                        </a:solidFill>
                      </a:rPr>
                      <a:t>) </a:t>
                    </a:r>
                    <a:fld id="{38853CD7-A655-426C-8744-373A34B5B432}" type="PERCENTAGE">
                      <a:rPr lang="en-US" sz="1050" baseline="0">
                        <a:solidFill>
                          <a:sysClr val="windowText" lastClr="000000">
                            <a:lumMod val="75000"/>
                            <a:lumOff val="25000"/>
                          </a:sysClr>
                        </a:solidFill>
                      </a:rPr>
                      <a:pPr>
                        <a:defRPr sz="1050">
                          <a:solidFill>
                            <a:sysClr val="windowText" lastClr="000000">
                              <a:lumMod val="75000"/>
                              <a:lumOff val="25000"/>
                            </a:sysClr>
                          </a:solidFill>
                        </a:defRPr>
                      </a:pPr>
                      <a:t>[PERCENTAGE]</a:t>
                    </a:fld>
                    <a:endParaRPr lang="en-US" sz="1050" baseline="0">
                      <a:solidFill>
                        <a:sysClr val="windowText" lastClr="000000">
                          <a:lumMod val="75000"/>
                          <a:lumOff val="25000"/>
                        </a:sysClr>
                      </a:solidFill>
                    </a:endParaRPr>
                  </a:p>
                </c:rich>
              </c:tx>
              <c:numFmt formatCode="0%" sourceLinked="0"/>
              <c:spPr>
                <a:noFill/>
                <a:ln>
                  <a:noFill/>
                </a:ln>
                <a:effectLst/>
              </c:spPr>
              <c:txPr>
                <a:bodyPr rot="0" spcFirstLastPara="1" vertOverflow="ellipsis" vert="horz" wrap="none" lIns="38100" tIns="19050" rIns="38100" bIns="19050" anchor="ctr" anchorCtr="1">
                  <a:spAutoFit/>
                </a:bodyPr>
                <a:lstStyle/>
                <a:p>
                  <a:pPr>
                    <a:defRPr sz="105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5-9973-4F0A-93B5-F0CEBF86DB80}"/>
                </c:ext>
              </c:extLst>
            </c:dLbl>
            <c:dLbl>
              <c:idx val="1"/>
              <c:layout>
                <c:manualLayout>
                  <c:x val="0.45736312411755881"/>
                  <c:y val="-0.25118939333182067"/>
                </c:manualLayout>
              </c:layout>
              <c:tx>
                <c:rich>
                  <a:bodyPr/>
                  <a:lstStyle/>
                  <a:p>
                    <a:r>
                      <a:rPr lang="en-US"/>
                      <a:t>(</a:t>
                    </a:r>
                    <a:fld id="{5578D174-D54C-4F06-90BC-0D0EF3DEE7B8}" type="VALUE">
                      <a:rPr lang="en-US"/>
                      <a:pPr/>
                      <a:t>[VALUE]</a:t>
                    </a:fld>
                    <a:r>
                      <a:rPr lang="en-US" baseline="0"/>
                      <a:t>) </a:t>
                    </a:r>
                    <a:fld id="{921B4C1E-71C5-4C16-BF40-8FFC5E904A26}" type="PERCENTAGE">
                      <a:rPr lang="en-US" baseline="0"/>
                      <a:pPr/>
                      <a:t>[PERCENTAGE]</a:t>
                    </a:fld>
                    <a:endParaRPr lang="en-US" baseline="0"/>
                  </a:p>
                </c:rich>
              </c:tx>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4-9973-4F0A-93B5-F0CEBF86DB8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Calc!$A$8:$A$10</c:f>
              <c:strCache>
                <c:ptCount val="2"/>
                <c:pt idx="0">
                  <c:v>Female</c:v>
                </c:pt>
                <c:pt idx="1">
                  <c:v>Male</c:v>
                </c:pt>
              </c:strCache>
            </c:strRef>
          </c:cat>
          <c:val>
            <c:numRef>
              <c:f>Calc!$B$8:$B$10</c:f>
              <c:numCache>
                <c:formatCode>General</c:formatCode>
                <c:ptCount val="2"/>
                <c:pt idx="0">
                  <c:v>68</c:v>
                </c:pt>
                <c:pt idx="1">
                  <c:v>407</c:v>
                </c:pt>
              </c:numCache>
            </c:numRef>
          </c:val>
          <c:extLst>
            <c:ext xmlns:c16="http://schemas.microsoft.com/office/drawing/2014/chart" uri="{C3380CC4-5D6E-409C-BE32-E72D297353CC}">
              <c16:uniqueId val="{00000000-9973-4F0A-93B5-F0CEBF86DB80}"/>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r"/>
      <c:layout>
        <c:manualLayout>
          <c:xMode val="edge"/>
          <c:yMode val="edge"/>
          <c:x val="0.66457268296460592"/>
          <c:y val="0.40085446903587502"/>
          <c:w val="0.13814302800769385"/>
          <c:h val="0.2070291893705484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.xlsx]Calc!PivotTable20</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1" i="0">
                <a:solidFill>
                  <a:srgbClr val="548235"/>
                </a:solidFill>
                <a:effectLst/>
              </a:rPr>
              <a:t>Self-Made vs Inherited (count)</a:t>
            </a:r>
          </a:p>
        </c:rich>
      </c:tx>
      <c:layout>
        <c:manualLayout>
          <c:xMode val="edge"/>
          <c:yMode val="edge"/>
          <c:x val="0.15942365175501966"/>
          <c:y val="4.775062592798829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rgbClr val="548235"/>
          </a:solidFill>
          <a:ln w="19050">
            <a:solidFill>
              <a:schemeClr val="lt1"/>
            </a:solidFill>
          </a:ln>
          <a:effectLst/>
        </c:spPr>
        <c:dLbl>
          <c:idx val="0"/>
          <c:layout>
            <c:manualLayout>
              <c:x val="0.65096546390019161"/>
              <c:y val="-0.10293939958598161"/>
            </c:manualLayout>
          </c:layout>
          <c:tx>
            <c:rich>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r>
                  <a:rPr lang="en-US"/>
                  <a:t>(</a:t>
                </a:r>
                <a:fld id="{D7D3FAF1-8D67-4192-A33A-F2D7F8769D2C}" type="VALUE">
                  <a:rPr lang="en-US"/>
                  <a:pPr>
                    <a:defRPr sz="1100"/>
                  </a:pPr>
                  <a:t>[VALUE]</a:t>
                </a:fld>
                <a:r>
                  <a:rPr lang="en-US"/>
                  <a:t>)</a:t>
                </a:r>
                <a:r>
                  <a:rPr lang="en-US" baseline="0"/>
                  <a:t> </a:t>
                </a:r>
                <a:fld id="{67801323-ADA2-43EB-ABB5-C397FF2A4D91}" type="PERCENTAGE">
                  <a:rPr lang="en-US" baseline="0"/>
                  <a:pPr>
                    <a:defRPr sz="1100"/>
                  </a:pPr>
                  <a:t>[PERCENTAGE]</a:t>
                </a:fld>
                <a:endParaRPr lang="en-US" baseline="0"/>
              </a:p>
            </c:rich>
          </c:tx>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2"/>
        <c:spPr>
          <a:solidFill>
            <a:srgbClr val="C5E0B4"/>
          </a:solidFill>
          <a:ln w="19050">
            <a:solidFill>
              <a:schemeClr val="lt1"/>
            </a:solidFill>
          </a:ln>
          <a:effectLst/>
        </c:spPr>
        <c:dLbl>
          <c:idx val="0"/>
          <c:layout>
            <c:manualLayout>
              <c:x val="0.36193541155238707"/>
              <c:y val="3.0652839281774112E-2"/>
            </c:manualLayout>
          </c:layout>
          <c:tx>
            <c:rich>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r>
                  <a:rPr lang="en-US"/>
                  <a:t>(</a:t>
                </a:r>
                <a:fld id="{0EBADCDE-1070-4EA9-905E-6FF584BC0169}" type="VALUE">
                  <a:rPr lang="en-US"/>
                  <a:pPr>
                    <a:defRPr sz="1100"/>
                  </a:pPr>
                  <a:t>[VALUE]</a:t>
                </a:fld>
                <a:r>
                  <a:rPr lang="en-US"/>
                  <a:t>)</a:t>
                </a:r>
                <a:r>
                  <a:rPr lang="en-US" baseline="0"/>
                  <a:t> </a:t>
                </a:r>
                <a:fld id="{F125EBF0-1665-40AB-A978-BDC08D6C1DEA}" type="PERCENTAGE">
                  <a:rPr lang="en-US" baseline="0"/>
                  <a:pPr>
                    <a:defRPr sz="1100"/>
                  </a:pPr>
                  <a:t>[PERCENTAGE]</a:t>
                </a:fld>
                <a:endParaRPr lang="en-US" baseline="0"/>
              </a:p>
            </c:rich>
          </c:tx>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Calc!$F$17</c:f>
              <c:strCache>
                <c:ptCount val="1"/>
                <c:pt idx="0">
                  <c:v>Total</c:v>
                </c:pt>
              </c:strCache>
            </c:strRef>
          </c:tx>
          <c:dPt>
            <c:idx val="0"/>
            <c:bubble3D val="0"/>
            <c:spPr>
              <a:solidFill>
                <a:srgbClr val="C5E0B4"/>
              </a:solidFill>
              <a:ln w="19050">
                <a:solidFill>
                  <a:schemeClr val="lt1"/>
                </a:solidFill>
              </a:ln>
              <a:effectLst/>
            </c:spPr>
            <c:extLst>
              <c:ext xmlns:c16="http://schemas.microsoft.com/office/drawing/2014/chart" uri="{C3380CC4-5D6E-409C-BE32-E72D297353CC}">
                <c16:uniqueId val="{00000003-53FE-49F2-BF97-60A5A743DA62}"/>
              </c:ext>
            </c:extLst>
          </c:dPt>
          <c:dPt>
            <c:idx val="1"/>
            <c:bubble3D val="0"/>
            <c:spPr>
              <a:solidFill>
                <a:srgbClr val="548235"/>
              </a:solidFill>
              <a:ln w="19050">
                <a:solidFill>
                  <a:schemeClr val="lt1"/>
                </a:solidFill>
              </a:ln>
              <a:effectLst/>
            </c:spPr>
            <c:extLst>
              <c:ext xmlns:c16="http://schemas.microsoft.com/office/drawing/2014/chart" uri="{C3380CC4-5D6E-409C-BE32-E72D297353CC}">
                <c16:uniqueId val="{00000002-53FE-49F2-BF97-60A5A743DA62}"/>
              </c:ext>
            </c:extLst>
          </c:dPt>
          <c:dLbls>
            <c:dLbl>
              <c:idx val="0"/>
              <c:layout>
                <c:manualLayout>
                  <c:x val="0.36193541155238707"/>
                  <c:y val="3.0652839281774112E-2"/>
                </c:manualLayout>
              </c:layout>
              <c:tx>
                <c:rich>
                  <a:bodyPr/>
                  <a:lstStyle/>
                  <a:p>
                    <a:r>
                      <a:rPr lang="en-US"/>
                      <a:t>(</a:t>
                    </a:r>
                    <a:fld id="{0EBADCDE-1070-4EA9-905E-6FF584BC0169}" type="VALUE">
                      <a:rPr lang="en-US"/>
                      <a:pPr/>
                      <a:t>[VALUE]</a:t>
                    </a:fld>
                    <a:r>
                      <a:rPr lang="en-US"/>
                      <a:t>)</a:t>
                    </a:r>
                    <a:r>
                      <a:rPr lang="en-US" baseline="0"/>
                      <a:t> </a:t>
                    </a:r>
                    <a:fld id="{F125EBF0-1665-40AB-A978-BDC08D6C1DEA}" type="PERCENTAGE">
                      <a:rPr lang="en-US" baseline="0"/>
                      <a:pPr/>
                      <a:t>[PERCENTAGE]</a:t>
                    </a:fld>
                    <a:endParaRPr lang="en-US" baseline="0"/>
                  </a:p>
                </c:rich>
              </c:tx>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53FE-49F2-BF97-60A5A743DA62}"/>
                </c:ext>
              </c:extLst>
            </c:dLbl>
            <c:dLbl>
              <c:idx val="1"/>
              <c:layout>
                <c:manualLayout>
                  <c:x val="0.65096546390019161"/>
                  <c:y val="-0.10293939958598161"/>
                </c:manualLayout>
              </c:layout>
              <c:tx>
                <c:rich>
                  <a:bodyPr/>
                  <a:lstStyle/>
                  <a:p>
                    <a:r>
                      <a:rPr lang="en-US"/>
                      <a:t>(</a:t>
                    </a:r>
                    <a:fld id="{D7D3FAF1-8D67-4192-A33A-F2D7F8769D2C}" type="VALUE">
                      <a:rPr lang="en-US"/>
                      <a:pPr/>
                      <a:t>[VALUE]</a:t>
                    </a:fld>
                    <a:r>
                      <a:rPr lang="en-US"/>
                      <a:t>)</a:t>
                    </a:r>
                    <a:r>
                      <a:rPr lang="en-US" baseline="0"/>
                      <a:t> </a:t>
                    </a:r>
                    <a:fld id="{67801323-ADA2-43EB-ABB5-C397FF2A4D91}" type="PERCENTAGE">
                      <a:rPr lang="en-US" baseline="0"/>
                      <a:pPr/>
                      <a:t>[PERCENTAGE]</a:t>
                    </a:fld>
                    <a:endParaRPr lang="en-US" baseline="0"/>
                  </a:p>
                </c:rich>
              </c:tx>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53FE-49F2-BF97-60A5A743DA62}"/>
                </c:ext>
              </c:extLst>
            </c:dLbl>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Calc!$E$18:$E$20</c:f>
              <c:strCache>
                <c:ptCount val="2"/>
                <c:pt idx="0">
                  <c:v>Inherited</c:v>
                </c:pt>
                <c:pt idx="1">
                  <c:v>Self-made</c:v>
                </c:pt>
              </c:strCache>
            </c:strRef>
          </c:cat>
          <c:val>
            <c:numRef>
              <c:f>Calc!$F$18:$F$20</c:f>
              <c:numCache>
                <c:formatCode>General</c:formatCode>
                <c:ptCount val="2"/>
                <c:pt idx="0">
                  <c:v>166</c:v>
                </c:pt>
                <c:pt idx="1">
                  <c:v>309</c:v>
                </c:pt>
              </c:numCache>
            </c:numRef>
          </c:val>
          <c:extLst>
            <c:ext xmlns:c16="http://schemas.microsoft.com/office/drawing/2014/chart" uri="{C3380CC4-5D6E-409C-BE32-E72D297353CC}">
              <c16:uniqueId val="{00000000-53FE-49F2-BF97-60A5A743DA62}"/>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r"/>
      <c:layout>
        <c:manualLayout>
          <c:xMode val="edge"/>
          <c:yMode val="edge"/>
          <c:x val="0.64888724484648752"/>
          <c:y val="0.44360491523104373"/>
          <c:w val="0.19524834574460551"/>
          <c:h val="0.1886322271019151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.xlsx]Calc!PivotTable22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1" i="0">
                <a:solidFill>
                  <a:srgbClr val="548235"/>
                </a:solidFill>
                <a:effectLst/>
              </a:rPr>
              <a:t>Wealth by Country (Top 5)</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548235"/>
          </a:solidFill>
          <a:ln>
            <a:noFill/>
          </a:ln>
          <a:effectLst>
            <a:glow rad="127000">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8344528546359E-2"/>
          <c:y val="0.17873777906168473"/>
          <c:w val="0.94063310942907286"/>
          <c:h val="0.70111814250765081"/>
        </c:manualLayout>
      </c:layout>
      <c:barChart>
        <c:barDir val="col"/>
        <c:grouping val="clustered"/>
        <c:varyColors val="0"/>
        <c:ser>
          <c:idx val="0"/>
          <c:order val="0"/>
          <c:tx>
            <c:strRef>
              <c:f>Calc!$B$21</c:f>
              <c:strCache>
                <c:ptCount val="1"/>
                <c:pt idx="0">
                  <c:v>Total</c:v>
                </c:pt>
              </c:strCache>
            </c:strRef>
          </c:tx>
          <c:spPr>
            <a:solidFill>
              <a:srgbClr val="548235"/>
            </a:solidFill>
            <a:ln>
              <a:noFill/>
            </a:ln>
            <a:effectLst>
              <a:glow rad="127000">
                <a:schemeClr val="bg1"/>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Calc!$A$22:$A$27</c:f>
              <c:strCache>
                <c:ptCount val="5"/>
                <c:pt idx="0">
                  <c:v>United States</c:v>
                </c:pt>
                <c:pt idx="1">
                  <c:v>China</c:v>
                </c:pt>
                <c:pt idx="2">
                  <c:v>France</c:v>
                </c:pt>
                <c:pt idx="3">
                  <c:v>India</c:v>
                </c:pt>
                <c:pt idx="4">
                  <c:v>Germany</c:v>
                </c:pt>
              </c:strCache>
            </c:strRef>
          </c:cat>
          <c:val>
            <c:numRef>
              <c:f>Calc!$B$22:$B$27</c:f>
              <c:numCache>
                <c:formatCode>\$#,##0.0,"B"</c:formatCode>
                <c:ptCount val="5"/>
                <c:pt idx="0">
                  <c:v>3145000</c:v>
                </c:pt>
                <c:pt idx="1">
                  <c:v>901700</c:v>
                </c:pt>
                <c:pt idx="2">
                  <c:v>451600</c:v>
                </c:pt>
                <c:pt idx="3">
                  <c:v>333200</c:v>
                </c:pt>
                <c:pt idx="4">
                  <c:v>256200</c:v>
                </c:pt>
              </c:numCache>
            </c:numRef>
          </c:val>
          <c:extLst>
            <c:ext xmlns:c16="http://schemas.microsoft.com/office/drawing/2014/chart" uri="{C3380CC4-5D6E-409C-BE32-E72D297353CC}">
              <c16:uniqueId val="{00000000-7730-47C8-9839-DDF17AD15332}"/>
            </c:ext>
          </c:extLst>
        </c:ser>
        <c:dLbls>
          <c:showLegendKey val="0"/>
          <c:showVal val="0"/>
          <c:showCatName val="0"/>
          <c:showSerName val="0"/>
          <c:showPercent val="0"/>
          <c:showBubbleSize val="0"/>
        </c:dLbls>
        <c:gapWidth val="71"/>
        <c:overlap val="-27"/>
        <c:axId val="398869935"/>
        <c:axId val="398870895"/>
      </c:barChart>
      <c:catAx>
        <c:axId val="39886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70895"/>
        <c:crosses val="autoZero"/>
        <c:auto val="1"/>
        <c:lblAlgn val="ctr"/>
        <c:lblOffset val="100"/>
        <c:noMultiLvlLbl val="0"/>
      </c:catAx>
      <c:valAx>
        <c:axId val="398870895"/>
        <c:scaling>
          <c:orientation val="minMax"/>
        </c:scaling>
        <c:delete val="1"/>
        <c:axPos val="l"/>
        <c:numFmt formatCode="\$#,##0.0,&quot;B&quot;" sourceLinked="1"/>
        <c:majorTickMark val="none"/>
        <c:minorTickMark val="none"/>
        <c:tickLblPos val="nextTo"/>
        <c:crossAx val="39886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27000">
        <a:schemeClr val="bg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.xlsx]Calc!PivotTable7</c:name>
    <c:fmtId val="11"/>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48235"/>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47821973990551"/>
          <c:y val="8.0169105345930886E-2"/>
          <c:w val="0.67362576552930886"/>
          <c:h val="0.88712588386930979"/>
        </c:manualLayout>
      </c:layout>
      <c:barChart>
        <c:barDir val="bar"/>
        <c:grouping val="clustered"/>
        <c:varyColors val="0"/>
        <c:ser>
          <c:idx val="0"/>
          <c:order val="0"/>
          <c:tx>
            <c:strRef>
              <c:f>Calc!$F$4</c:f>
              <c:strCache>
                <c:ptCount val="1"/>
                <c:pt idx="0">
                  <c:v>Total</c:v>
                </c:pt>
              </c:strCache>
            </c:strRef>
          </c:tx>
          <c:spPr>
            <a:solidFill>
              <a:srgbClr val="5482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Calc!$E$5:$E$15</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Calc!$F$5:$F$15</c:f>
              <c:numCache>
                <c:formatCode>\$#,##0.0,"B"</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AEFA-4331-B5A4-231241F2EE45}"/>
            </c:ext>
          </c:extLst>
        </c:ser>
        <c:dLbls>
          <c:showLegendKey val="0"/>
          <c:showVal val="1"/>
          <c:showCatName val="0"/>
          <c:showSerName val="0"/>
          <c:showPercent val="0"/>
          <c:showBubbleSize val="0"/>
        </c:dLbls>
        <c:gapWidth val="50"/>
        <c:axId val="1584392048"/>
        <c:axId val="1584389168"/>
      </c:barChart>
      <c:catAx>
        <c:axId val="15843920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84389168"/>
        <c:crosses val="autoZero"/>
        <c:auto val="1"/>
        <c:lblAlgn val="ctr"/>
        <c:lblOffset val="100"/>
        <c:noMultiLvlLbl val="0"/>
      </c:catAx>
      <c:valAx>
        <c:axId val="1584389168"/>
        <c:scaling>
          <c:orientation val="minMax"/>
        </c:scaling>
        <c:delete val="1"/>
        <c:axPos val="t"/>
        <c:title>
          <c:tx>
            <c:rich>
              <a:bodyPr rot="0" spcFirstLastPara="1" vertOverflow="ellipsis" vert="horz" wrap="square" anchor="ctr" anchorCtr="1"/>
              <a:lstStyle/>
              <a:p>
                <a:pPr>
                  <a:defRPr sz="1800" b="1" i="0" u="none" strike="noStrike" kern="1200" baseline="0">
                    <a:solidFill>
                      <a:srgbClr val="548235"/>
                    </a:solidFill>
                    <a:latin typeface="+mn-lt"/>
                    <a:ea typeface="+mn-ea"/>
                    <a:cs typeface="+mn-cs"/>
                  </a:defRPr>
                </a:pPr>
                <a:r>
                  <a:rPr lang="en-GB" sz="1800" b="1">
                    <a:solidFill>
                      <a:srgbClr val="548235"/>
                    </a:solidFill>
                  </a:rPr>
                  <a:t>Top 10 Billionaires by Net Worth</a:t>
                </a:r>
              </a:p>
            </c:rich>
          </c:tx>
          <c:layout>
            <c:manualLayout>
              <c:xMode val="edge"/>
              <c:yMode val="edge"/>
              <c:x val="4.0976537561183218E-2"/>
              <c:y val="2.7399165619340929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548235"/>
                  </a:solidFill>
                  <a:latin typeface="+mn-lt"/>
                  <a:ea typeface="+mn-ea"/>
                  <a:cs typeface="+mn-cs"/>
                </a:defRPr>
              </a:pPr>
              <a:endParaRPr lang="en-GB"/>
            </a:p>
          </c:txPr>
        </c:title>
        <c:numFmt formatCode="\$#,##0.0,&quot;B&quot;" sourceLinked="1"/>
        <c:majorTickMark val="none"/>
        <c:minorTickMark val="none"/>
        <c:tickLblPos val="nextTo"/>
        <c:crossAx val="158439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.xlsx]Calc!PivotTable20</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1" i="0">
                <a:solidFill>
                  <a:srgbClr val="548235"/>
                </a:solidFill>
                <a:effectLst/>
              </a:rPr>
              <a:t>Self-Made vs Inherited (count)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rgbClr val="548235"/>
          </a:solidFill>
          <a:ln w="19050">
            <a:solidFill>
              <a:schemeClr val="lt1"/>
            </a:solidFill>
          </a:ln>
          <a:effectLst/>
        </c:spPr>
        <c:dLbl>
          <c:idx val="0"/>
          <c:layout>
            <c:manualLayout>
              <c:x val="0.57124429283924716"/>
              <c:y val="-0.11680797389598807"/>
            </c:manualLayout>
          </c:layout>
          <c:tx>
            <c:rich>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r>
                  <a:rPr lang="en-US"/>
                  <a:t>(</a:t>
                </a:r>
                <a:fld id="{D7D3FAF1-8D67-4192-A33A-F2D7F8769D2C}" type="VALUE">
                  <a:rPr lang="en-US"/>
                  <a:pPr>
                    <a:defRPr sz="1100" b="0" i="0" u="none" strike="noStrike" kern="1200" baseline="0">
                      <a:solidFill>
                        <a:schemeClr val="tx1">
                          <a:lumMod val="75000"/>
                          <a:lumOff val="25000"/>
                        </a:schemeClr>
                      </a:solidFill>
                      <a:latin typeface="+mn-lt"/>
                      <a:ea typeface="+mn-ea"/>
                      <a:cs typeface="+mn-cs"/>
                    </a:defRPr>
                  </a:pPr>
                  <a:t>[VALUE]</a:t>
                </a:fld>
                <a:r>
                  <a:rPr lang="en-US"/>
                  <a:t>)</a:t>
                </a:r>
                <a:r>
                  <a:rPr lang="en-US" baseline="0"/>
                  <a:t> </a:t>
                </a:r>
                <a:fld id="{67801323-ADA2-43EB-ABB5-C397FF2A4D9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2"/>
        <c:spPr>
          <a:solidFill>
            <a:srgbClr val="C5E0B4"/>
          </a:solidFill>
          <a:ln w="19050">
            <a:solidFill>
              <a:schemeClr val="lt1"/>
            </a:solidFill>
          </a:ln>
          <a:effectLst/>
        </c:spPr>
        <c:dLbl>
          <c:idx val="0"/>
          <c:layout>
            <c:manualLayout>
              <c:x val="0.3163805344227244"/>
              <c:y val="3.9901125428652526E-2"/>
            </c:manualLayout>
          </c:layout>
          <c:tx>
            <c:rich>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r>
                  <a:rPr lang="en-US"/>
                  <a:t>(</a:t>
                </a:r>
                <a:fld id="{0EBADCDE-1070-4EA9-905E-6FF584BC0169}" type="VALUE">
                  <a:rPr lang="en-US"/>
                  <a:pPr>
                    <a:defRPr sz="1100" b="0" i="0" u="none" strike="noStrike" kern="1200" baseline="0">
                      <a:solidFill>
                        <a:schemeClr val="tx1">
                          <a:lumMod val="75000"/>
                          <a:lumOff val="25000"/>
                        </a:schemeClr>
                      </a:solidFill>
                      <a:latin typeface="+mn-lt"/>
                      <a:ea typeface="+mn-ea"/>
                      <a:cs typeface="+mn-cs"/>
                    </a:defRPr>
                  </a:pPr>
                  <a:t>[VALUE]</a:t>
                </a:fld>
                <a:r>
                  <a:rPr lang="en-US"/>
                  <a:t>)</a:t>
                </a:r>
                <a:r>
                  <a:rPr lang="en-US" baseline="0"/>
                  <a:t> </a:t>
                </a:r>
                <a:fld id="{F125EBF0-1665-40AB-A978-BDC08D6C1DEA}"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rgbClr val="C5E0B4"/>
          </a:solidFill>
          <a:ln w="19050">
            <a:solidFill>
              <a:schemeClr val="lt1"/>
            </a:solidFill>
          </a:ln>
          <a:effectLst/>
        </c:spPr>
        <c:dLbl>
          <c:idx val="0"/>
          <c:layout>
            <c:manualLayout>
              <c:x val="0.3163805344227244"/>
              <c:y val="3.9901125428652526E-2"/>
            </c:manualLayout>
          </c:layout>
          <c:tx>
            <c:rich>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r>
                  <a:rPr lang="en-US"/>
                  <a:t>(</a:t>
                </a:r>
                <a:fld id="{0EBADCDE-1070-4EA9-905E-6FF584BC0169}" type="VALUE">
                  <a:rPr lang="en-US"/>
                  <a:pPr>
                    <a:defRPr sz="1100" b="0" i="0" u="none" strike="noStrike" kern="1200" baseline="0">
                      <a:solidFill>
                        <a:schemeClr val="tx1">
                          <a:lumMod val="75000"/>
                          <a:lumOff val="25000"/>
                        </a:schemeClr>
                      </a:solidFill>
                      <a:latin typeface="+mn-lt"/>
                      <a:ea typeface="+mn-ea"/>
                      <a:cs typeface="+mn-cs"/>
                    </a:defRPr>
                  </a:pPr>
                  <a:t>[VALUE]</a:t>
                </a:fld>
                <a:r>
                  <a:rPr lang="en-US"/>
                  <a:t>)</a:t>
                </a:r>
                <a:r>
                  <a:rPr lang="en-US" baseline="0"/>
                  <a:t> </a:t>
                </a:r>
                <a:fld id="{F125EBF0-1665-40AB-A978-BDC08D6C1DEA}"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5"/>
        <c:spPr>
          <a:solidFill>
            <a:srgbClr val="548235"/>
          </a:solidFill>
          <a:ln w="19050">
            <a:solidFill>
              <a:schemeClr val="lt1"/>
            </a:solidFill>
          </a:ln>
          <a:effectLst/>
        </c:spPr>
        <c:dLbl>
          <c:idx val="0"/>
          <c:layout>
            <c:manualLayout>
              <c:x val="0.57124429283924716"/>
              <c:y val="-0.11680797389598807"/>
            </c:manualLayout>
          </c:layout>
          <c:tx>
            <c:rich>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r>
                  <a:rPr lang="en-US"/>
                  <a:t>(</a:t>
                </a:r>
                <a:fld id="{D7D3FAF1-8D67-4192-A33A-F2D7F8769D2C}" type="VALUE">
                  <a:rPr lang="en-US"/>
                  <a:pPr>
                    <a:defRPr sz="1100" b="0" i="0" u="none" strike="noStrike" kern="1200" baseline="0">
                      <a:solidFill>
                        <a:schemeClr val="tx1">
                          <a:lumMod val="75000"/>
                          <a:lumOff val="25000"/>
                        </a:schemeClr>
                      </a:solidFill>
                      <a:latin typeface="+mn-lt"/>
                      <a:ea typeface="+mn-ea"/>
                      <a:cs typeface="+mn-cs"/>
                    </a:defRPr>
                  </a:pPr>
                  <a:t>[VALUE]</a:t>
                </a:fld>
                <a:r>
                  <a:rPr lang="en-US"/>
                  <a:t>)</a:t>
                </a:r>
                <a:r>
                  <a:rPr lang="en-US" baseline="0"/>
                  <a:t> </a:t>
                </a:r>
                <a:fld id="{67801323-ADA2-43EB-ABB5-C397FF2A4D9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rgbClr val="C5E0B4"/>
          </a:solidFill>
          <a:ln w="19050">
            <a:solidFill>
              <a:schemeClr val="lt1"/>
            </a:solidFill>
          </a:ln>
          <a:effectLst/>
        </c:spPr>
        <c:dLbl>
          <c:idx val="0"/>
          <c:layout>
            <c:manualLayout>
              <c:x val="0.36040013814941674"/>
              <c:y val="4.7413904020429949E-2"/>
            </c:manualLayout>
          </c:layout>
          <c:tx>
            <c:rich>
              <a:bodyPr rot="0" spcFirstLastPara="1" vertOverflow="ellipsis" vert="horz" wrap="square" lIns="38100" tIns="19050" rIns="38100" bIns="19050" anchor="t" anchorCtr="0">
                <a:spAutoFit/>
              </a:bodyPr>
              <a:lstStyle/>
              <a:p>
                <a:pPr>
                  <a:defRPr sz="1050" b="0" i="0" u="none" strike="noStrike" kern="1200" baseline="0">
                    <a:solidFill>
                      <a:schemeClr val="tx1">
                        <a:lumMod val="75000"/>
                        <a:lumOff val="25000"/>
                      </a:schemeClr>
                    </a:solidFill>
                    <a:latin typeface="+mn-lt"/>
                    <a:ea typeface="+mn-ea"/>
                    <a:cs typeface="+mn-cs"/>
                  </a:defRPr>
                </a:pPr>
                <a:r>
                  <a:rPr lang="en-US" sz="1050"/>
                  <a:t>(</a:t>
                </a:r>
                <a:fld id="{0EBADCDE-1070-4EA9-905E-6FF584BC0169}" type="VALUE">
                  <a:rPr lang="en-US" sz="1050"/>
                  <a:pPr>
                    <a:defRPr sz="1050"/>
                  </a:pPr>
                  <a:t>[VALUE]</a:t>
                </a:fld>
                <a:r>
                  <a:rPr lang="en-US" sz="1050"/>
                  <a:t>)</a:t>
                </a:r>
                <a:r>
                  <a:rPr lang="en-US" sz="1050" baseline="0"/>
                  <a:t> </a:t>
                </a:r>
                <a:fld id="{F125EBF0-1665-40AB-A978-BDC08D6C1DEA}" type="PERCENTAGE">
                  <a:rPr lang="en-US" sz="1050" baseline="0"/>
                  <a:pPr>
                    <a:defRPr sz="1050"/>
                  </a:pPr>
                  <a:t>[PERCENTAGE]</a:t>
                </a:fld>
                <a:endParaRPr lang="en-US" sz="1050" baseline="0"/>
              </a:p>
            </c:rich>
          </c:tx>
          <c:spPr>
            <a:noFill/>
            <a:ln>
              <a:noFill/>
            </a:ln>
            <a:effectLst/>
          </c:spPr>
          <c:txPr>
            <a:bodyPr rot="0" spcFirstLastPara="1" vertOverflow="ellipsis" vert="horz" wrap="square" lIns="38100" tIns="19050" rIns="38100" bIns="19050" anchor="t" anchorCtr="0">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8"/>
        <c:spPr>
          <a:solidFill>
            <a:srgbClr val="548235"/>
          </a:solidFill>
          <a:ln w="19050">
            <a:solidFill>
              <a:schemeClr val="lt1"/>
            </a:solidFill>
          </a:ln>
          <a:effectLst/>
        </c:spPr>
        <c:dLbl>
          <c:idx val="0"/>
          <c:layout>
            <c:manualLayout>
              <c:x val="0.69240462924335966"/>
              <c:y val="-7.9243824216401026E-2"/>
            </c:manualLayout>
          </c:layout>
          <c:tx>
            <c:rich>
              <a:bodyPr rot="0" spcFirstLastPara="1" vertOverflow="ellipsis" vert="horz" wrap="square" lIns="38100" tIns="19050" rIns="38100" bIns="19050" anchor="t" anchorCtr="0">
                <a:spAutoFit/>
              </a:bodyPr>
              <a:lstStyle/>
              <a:p>
                <a:pPr>
                  <a:defRPr sz="1050" b="0" i="0" u="none" strike="noStrike" kern="1200" baseline="0">
                    <a:solidFill>
                      <a:schemeClr val="tx1">
                        <a:lumMod val="75000"/>
                        <a:lumOff val="25000"/>
                      </a:schemeClr>
                    </a:solidFill>
                    <a:latin typeface="+mn-lt"/>
                    <a:ea typeface="+mn-ea"/>
                    <a:cs typeface="+mn-cs"/>
                  </a:defRPr>
                </a:pPr>
                <a:r>
                  <a:rPr lang="en-US" sz="1050"/>
                  <a:t>(</a:t>
                </a:r>
                <a:fld id="{D7D3FAF1-8D67-4192-A33A-F2D7F8769D2C}" type="VALUE">
                  <a:rPr lang="en-US" sz="1050"/>
                  <a:pPr>
                    <a:defRPr sz="1050"/>
                  </a:pPr>
                  <a:t>[VALUE]</a:t>
                </a:fld>
                <a:r>
                  <a:rPr lang="en-US" sz="1050"/>
                  <a:t>)</a:t>
                </a:r>
                <a:r>
                  <a:rPr lang="en-US" sz="1050" baseline="0"/>
                  <a:t> </a:t>
                </a:r>
                <a:fld id="{67801323-ADA2-43EB-ABB5-C397FF2A4D91}" type="PERCENTAGE">
                  <a:rPr lang="en-US" sz="1050" baseline="0"/>
                  <a:pPr>
                    <a:defRPr sz="1050"/>
                  </a:pPr>
                  <a:t>[PERCENTAGE]</a:t>
                </a:fld>
                <a:endParaRPr lang="en-US" sz="1050" baseline="0"/>
              </a:p>
            </c:rich>
          </c:tx>
          <c:spPr>
            <a:noFill/>
            <a:ln>
              <a:noFill/>
            </a:ln>
            <a:effectLst/>
          </c:spPr>
          <c:txPr>
            <a:bodyPr rot="0" spcFirstLastPara="1" vertOverflow="ellipsis" vert="horz" wrap="square" lIns="38100" tIns="19050" rIns="38100" bIns="19050" anchor="t" anchorCtr="0">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235613427336749"/>
          <c:y val="0.17384937659819955"/>
          <c:w val="0.4667886928518345"/>
          <c:h val="0.69298369789041314"/>
        </c:manualLayout>
      </c:layout>
      <c:doughnutChart>
        <c:varyColors val="1"/>
        <c:ser>
          <c:idx val="0"/>
          <c:order val="0"/>
          <c:tx>
            <c:strRef>
              <c:f>Calc!$F$17</c:f>
              <c:strCache>
                <c:ptCount val="1"/>
                <c:pt idx="0">
                  <c:v>Total</c:v>
                </c:pt>
              </c:strCache>
            </c:strRef>
          </c:tx>
          <c:dPt>
            <c:idx val="0"/>
            <c:bubble3D val="0"/>
            <c:spPr>
              <a:solidFill>
                <a:srgbClr val="C5E0B4"/>
              </a:solidFill>
              <a:ln w="19050">
                <a:solidFill>
                  <a:schemeClr val="lt1"/>
                </a:solidFill>
              </a:ln>
              <a:effectLst/>
            </c:spPr>
            <c:extLst>
              <c:ext xmlns:c16="http://schemas.microsoft.com/office/drawing/2014/chart" uri="{C3380CC4-5D6E-409C-BE32-E72D297353CC}">
                <c16:uniqueId val="{00000001-DB27-4A4F-A285-C90A6E8AB5FF}"/>
              </c:ext>
            </c:extLst>
          </c:dPt>
          <c:dPt>
            <c:idx val="1"/>
            <c:bubble3D val="0"/>
            <c:spPr>
              <a:solidFill>
                <a:srgbClr val="548235"/>
              </a:solidFill>
              <a:ln w="19050">
                <a:solidFill>
                  <a:schemeClr val="lt1"/>
                </a:solidFill>
              </a:ln>
              <a:effectLst/>
            </c:spPr>
            <c:extLst>
              <c:ext xmlns:c16="http://schemas.microsoft.com/office/drawing/2014/chart" uri="{C3380CC4-5D6E-409C-BE32-E72D297353CC}">
                <c16:uniqueId val="{00000003-DB27-4A4F-A285-C90A6E8AB5FF}"/>
              </c:ext>
            </c:extLst>
          </c:dPt>
          <c:dLbls>
            <c:dLbl>
              <c:idx val="0"/>
              <c:layout>
                <c:manualLayout>
                  <c:x val="0.36040013814941674"/>
                  <c:y val="4.7413904020429949E-2"/>
                </c:manualLayout>
              </c:layout>
              <c:tx>
                <c:rich>
                  <a:bodyPr/>
                  <a:lstStyle/>
                  <a:p>
                    <a:r>
                      <a:rPr lang="en-US" sz="1050"/>
                      <a:t>(</a:t>
                    </a:r>
                    <a:fld id="{0EBADCDE-1070-4EA9-905E-6FF584BC0169}" type="VALUE">
                      <a:rPr lang="en-US" sz="1050"/>
                      <a:pPr/>
                      <a:t>[VALUE]</a:t>
                    </a:fld>
                    <a:r>
                      <a:rPr lang="en-US" sz="1050"/>
                      <a:t>)</a:t>
                    </a:r>
                    <a:r>
                      <a:rPr lang="en-US" sz="1050" baseline="0"/>
                      <a:t> </a:t>
                    </a:r>
                    <a:fld id="{F125EBF0-1665-40AB-A978-BDC08D6C1DEA}" type="PERCENTAGE">
                      <a:rPr lang="en-US" sz="1050" baseline="0"/>
                      <a:pPr/>
                      <a:t>[PERCENTAGE]</a:t>
                    </a:fld>
                    <a:endParaRPr lang="en-US" sz="1050" baseline="0"/>
                  </a:p>
                </c:rich>
              </c:tx>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DB27-4A4F-A285-C90A6E8AB5FF}"/>
                </c:ext>
              </c:extLst>
            </c:dLbl>
            <c:dLbl>
              <c:idx val="1"/>
              <c:layout>
                <c:manualLayout>
                  <c:x val="0.69240462924335966"/>
                  <c:y val="-7.9243824216401026E-2"/>
                </c:manualLayout>
              </c:layout>
              <c:tx>
                <c:rich>
                  <a:bodyPr/>
                  <a:lstStyle/>
                  <a:p>
                    <a:r>
                      <a:rPr lang="en-US" sz="1050"/>
                      <a:t>(</a:t>
                    </a:r>
                    <a:fld id="{D7D3FAF1-8D67-4192-A33A-F2D7F8769D2C}" type="VALUE">
                      <a:rPr lang="en-US" sz="1050"/>
                      <a:pPr/>
                      <a:t>[VALUE]</a:t>
                    </a:fld>
                    <a:r>
                      <a:rPr lang="en-US" sz="1050"/>
                      <a:t>)</a:t>
                    </a:r>
                    <a:r>
                      <a:rPr lang="en-US" sz="1050" baseline="0"/>
                      <a:t> </a:t>
                    </a:r>
                    <a:fld id="{67801323-ADA2-43EB-ABB5-C397FF2A4D91}" type="PERCENTAGE">
                      <a:rPr lang="en-US" sz="1050" baseline="0"/>
                      <a:pPr/>
                      <a:t>[PERCENTAGE]</a:t>
                    </a:fld>
                    <a:endParaRPr lang="en-US" sz="1050" baseline="0"/>
                  </a:p>
                </c:rich>
              </c:tx>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DB27-4A4F-A285-C90A6E8AB5FF}"/>
                </c:ext>
              </c:extLst>
            </c:dLbl>
            <c:spPr>
              <a:noFill/>
              <a:ln>
                <a:noFill/>
              </a:ln>
              <a:effectLst/>
            </c:spPr>
            <c:txPr>
              <a:bodyPr rot="0" spcFirstLastPara="1" vertOverflow="ellipsis" vert="horz" wrap="square" lIns="38100" tIns="19050" rIns="38100" bIns="19050" anchor="t" anchorCtr="0">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Calc!$E$18:$E$20</c:f>
              <c:strCache>
                <c:ptCount val="2"/>
                <c:pt idx="0">
                  <c:v>Inherited</c:v>
                </c:pt>
                <c:pt idx="1">
                  <c:v>Self-made</c:v>
                </c:pt>
              </c:strCache>
            </c:strRef>
          </c:cat>
          <c:val>
            <c:numRef>
              <c:f>Calc!$F$18:$F$20</c:f>
              <c:numCache>
                <c:formatCode>General</c:formatCode>
                <c:ptCount val="2"/>
                <c:pt idx="0">
                  <c:v>166</c:v>
                </c:pt>
                <c:pt idx="1">
                  <c:v>309</c:v>
                </c:pt>
              </c:numCache>
            </c:numRef>
          </c:val>
          <c:extLst>
            <c:ext xmlns:c16="http://schemas.microsoft.com/office/drawing/2014/chart" uri="{C3380CC4-5D6E-409C-BE32-E72D297353CC}">
              <c16:uniqueId val="{00000004-DB27-4A4F-A285-C90A6E8AB5FF}"/>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r"/>
      <c:layout>
        <c:manualLayout>
          <c:xMode val="edge"/>
          <c:yMode val="edge"/>
          <c:x val="0.6279420812283909"/>
          <c:y val="0.44380987502059022"/>
          <c:w val="0.19079003888237617"/>
          <c:h val="0.122853719430910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.xlsx]Calc!PivotTable16</c:name>
    <c:fmtId val="19"/>
  </c:pivotSource>
  <c:chart>
    <c:title>
      <c:tx>
        <c:rich>
          <a:bodyPr rot="0" spcFirstLastPara="1" vertOverflow="ellipsis" vert="horz" wrap="square" anchor="ctr" anchorCtr="1"/>
          <a:lstStyle/>
          <a:p>
            <a:pPr>
              <a:defRPr sz="2000" b="1" i="0" u="none" strike="noStrike" kern="1200" spc="0" baseline="0">
                <a:solidFill>
                  <a:srgbClr val="548235"/>
                </a:solidFill>
                <a:latin typeface="+mn-lt"/>
                <a:ea typeface="+mn-ea"/>
                <a:cs typeface="+mn-cs"/>
              </a:defRPr>
            </a:pPr>
            <a:r>
              <a:rPr lang="en-US" sz="2000" b="1">
                <a:solidFill>
                  <a:srgbClr val="548235"/>
                </a:solidFill>
              </a:rPr>
              <a:t>Wealth</a:t>
            </a:r>
            <a:r>
              <a:rPr lang="en-US" sz="2000" b="1" baseline="0">
                <a:solidFill>
                  <a:srgbClr val="548235"/>
                </a:solidFill>
              </a:rPr>
              <a:t> by Industry </a:t>
            </a:r>
          </a:p>
        </c:rich>
      </c:tx>
      <c:layout>
        <c:manualLayout>
          <c:xMode val="edge"/>
          <c:yMode val="edge"/>
          <c:x val="0.26376309371565182"/>
          <c:y val="2.4326426160677001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rgbClr val="548235"/>
              </a:solidFill>
              <a:latin typeface="+mn-lt"/>
              <a:ea typeface="+mn-ea"/>
              <a:cs typeface="+mn-cs"/>
            </a:defRPr>
          </a:pPr>
          <a:endParaRPr lang="en-US"/>
        </a:p>
      </c:txPr>
    </c:title>
    <c:autoTitleDeleted val="0"/>
    <c:pivotFmts>
      <c:pivotFmt>
        <c:idx val="0"/>
        <c:spPr>
          <a:solidFill>
            <a:srgbClr val="548235"/>
          </a:solidFill>
          <a:ln>
            <a:noFill/>
          </a:ln>
          <a:effectLst/>
          <a:scene3d>
            <a:camera prst="orthographicFront"/>
            <a:lightRig rig="threePt" dir="t"/>
          </a:scene3d>
          <a:sp3d>
            <a:bevelT w="0"/>
          </a:sp3d>
        </c:spPr>
        <c:marker>
          <c:symbol val="none"/>
        </c:marker>
        <c:dLbl>
          <c:idx val="0"/>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548235"/>
          </a:solidFill>
          <a:ln>
            <a:noFill/>
          </a:ln>
          <a:effectLst/>
          <a:scene3d>
            <a:camera prst="orthographicFront"/>
            <a:lightRig rig="threePt" dir="t"/>
          </a:scene3d>
          <a:sp3d>
            <a:bevelT w="0"/>
          </a:sp3d>
        </c:spPr>
        <c:dLbl>
          <c:idx val="0"/>
          <c:layout>
            <c:manualLayout>
              <c:x val="0.30968767272887859"/>
              <c:y val="-3.5712002388300183E-3"/>
            </c:manualLayout>
          </c:layout>
          <c:spPr>
            <a:noFill/>
            <a:ln>
              <a:noFill/>
            </a:ln>
            <a:effectLst>
              <a:softEdge rad="292100"/>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548235"/>
          </a:solidFill>
          <a:ln>
            <a:noFill/>
          </a:ln>
          <a:effectLst/>
          <a:scene3d>
            <a:camera prst="orthographicFront"/>
            <a:lightRig rig="threePt" dir="t"/>
          </a:scene3d>
          <a:sp3d>
            <a:bevelT w="0"/>
          </a:sp3d>
        </c:spPr>
        <c:dLbl>
          <c:idx val="0"/>
          <c:layout>
            <c:manualLayout>
              <c:x val="0.2859473472190065"/>
              <c:y val="3.4853158227905411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548235"/>
          </a:solidFill>
          <a:ln>
            <a:noFill/>
          </a:ln>
          <a:effectLst/>
          <a:scene3d>
            <a:camera prst="orthographicFront"/>
            <a:lightRig rig="threePt" dir="t"/>
          </a:scene3d>
          <a:sp3d>
            <a:bevelT w="0"/>
          </a:sp3d>
        </c:spPr>
        <c:dLbl>
          <c:idx val="0"/>
          <c:layout>
            <c:manualLayout>
              <c:x val="0.25176796395489154"/>
              <c:y val="0"/>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548235"/>
          </a:solidFill>
          <a:ln>
            <a:noFill/>
          </a:ln>
          <a:effectLst/>
          <a:scene3d>
            <a:camera prst="orthographicFront"/>
            <a:lightRig rig="threePt" dir="t"/>
          </a:scene3d>
          <a:sp3d>
            <a:bevelT w="0"/>
          </a:sp3d>
        </c:spPr>
        <c:dLbl>
          <c:idx val="0"/>
          <c:layout>
            <c:manualLayout>
              <c:x val="0.21636072020765873"/>
              <c:y val="0"/>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548235"/>
          </a:solidFill>
          <a:ln>
            <a:noFill/>
          </a:ln>
          <a:effectLst/>
          <a:scene3d>
            <a:camera prst="orthographicFront"/>
            <a:lightRig rig="threePt" dir="t"/>
          </a:scene3d>
          <a:sp3d>
            <a:bevelT w="0"/>
          </a:sp3d>
        </c:spPr>
        <c:dLbl>
          <c:idx val="0"/>
          <c:layout>
            <c:manualLayout>
              <c:x val="0.16805641163652779"/>
              <c:y val="7.0563297917411675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548235"/>
          </a:solidFill>
          <a:ln>
            <a:noFill/>
          </a:ln>
          <a:effectLst/>
          <a:scene3d>
            <a:camera prst="orthographicFront"/>
            <a:lightRig rig="threePt" dir="t"/>
          </a:scene3d>
          <a:sp3d>
            <a:bevelT w="0"/>
          </a:sp3d>
        </c:spPr>
        <c:marker>
          <c:symbol val="none"/>
        </c:marker>
        <c:dLbl>
          <c:idx val="0"/>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548235"/>
          </a:solidFill>
          <a:ln>
            <a:noFill/>
          </a:ln>
          <a:effectLst/>
          <a:scene3d>
            <a:camera prst="orthographicFront"/>
            <a:lightRig rig="threePt" dir="t"/>
          </a:scene3d>
          <a:sp3d>
            <a:bevelT w="0"/>
          </a:sp3d>
        </c:spPr>
        <c:dLbl>
          <c:idx val="0"/>
          <c:layout>
            <c:manualLayout>
              <c:x val="0.30968767272887859"/>
              <c:y val="-3.5712002388300183E-3"/>
            </c:manualLayout>
          </c:layout>
          <c:spPr>
            <a:noFill/>
            <a:ln>
              <a:noFill/>
            </a:ln>
            <a:effectLst>
              <a:softEdge rad="292100"/>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548235"/>
          </a:solidFill>
          <a:ln>
            <a:noFill/>
          </a:ln>
          <a:effectLst/>
          <a:scene3d>
            <a:camera prst="orthographicFront"/>
            <a:lightRig rig="threePt" dir="t"/>
          </a:scene3d>
          <a:sp3d>
            <a:bevelT w="0"/>
          </a:sp3d>
        </c:spPr>
        <c:dLbl>
          <c:idx val="0"/>
          <c:layout>
            <c:manualLayout>
              <c:x val="0.2859473472190065"/>
              <c:y val="3.4853158227905411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548235"/>
          </a:solidFill>
          <a:ln>
            <a:noFill/>
          </a:ln>
          <a:effectLst/>
          <a:scene3d>
            <a:camera prst="orthographicFront"/>
            <a:lightRig rig="threePt" dir="t"/>
          </a:scene3d>
          <a:sp3d>
            <a:bevelT w="0"/>
          </a:sp3d>
        </c:spPr>
        <c:dLbl>
          <c:idx val="0"/>
          <c:layout>
            <c:manualLayout>
              <c:x val="0.25176796395489154"/>
              <c:y val="0"/>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548235"/>
          </a:solidFill>
          <a:ln>
            <a:noFill/>
          </a:ln>
          <a:effectLst/>
          <a:scene3d>
            <a:camera prst="orthographicFront"/>
            <a:lightRig rig="threePt" dir="t"/>
          </a:scene3d>
          <a:sp3d>
            <a:bevelT w="0"/>
          </a:sp3d>
        </c:spPr>
        <c:dLbl>
          <c:idx val="0"/>
          <c:layout>
            <c:manualLayout>
              <c:x val="0.21636072020765873"/>
              <c:y val="0"/>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548235"/>
          </a:solidFill>
          <a:ln>
            <a:noFill/>
          </a:ln>
          <a:effectLst/>
          <a:scene3d>
            <a:camera prst="orthographicFront"/>
            <a:lightRig rig="threePt" dir="t"/>
          </a:scene3d>
          <a:sp3d>
            <a:bevelT w="0"/>
          </a:sp3d>
        </c:spPr>
        <c:dLbl>
          <c:idx val="0"/>
          <c:layout>
            <c:manualLayout>
              <c:x val="0.16805641163652779"/>
              <c:y val="7.0563297917411675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rgbClr val="548235"/>
          </a:solidFill>
          <a:ln>
            <a:noFill/>
          </a:ln>
          <a:effectLst/>
          <a:scene3d>
            <a:camera prst="orthographicFront"/>
            <a:lightRig rig="threePt" dir="t"/>
          </a:scene3d>
          <a:sp3d>
            <a:bevelT w="0"/>
          </a:sp3d>
        </c:spPr>
        <c:dLbl>
          <c:idx val="0"/>
          <c:layout>
            <c:manualLayout>
              <c:x val="0.2859473472190065"/>
              <c:y val="3.4853158227905411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548235"/>
          </a:solidFill>
          <a:ln>
            <a:noFill/>
          </a:ln>
          <a:effectLst/>
          <a:scene3d>
            <a:camera prst="orthographicFront"/>
            <a:lightRig rig="threePt" dir="t"/>
          </a:scene3d>
          <a:sp3d>
            <a:bevelT w="0"/>
          </a:sp3d>
        </c:spPr>
        <c:marker>
          <c:symbol val="none"/>
        </c:marker>
        <c:dLbl>
          <c:idx val="0"/>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548235"/>
          </a:solidFill>
          <a:ln>
            <a:noFill/>
          </a:ln>
          <a:effectLst/>
          <a:scene3d>
            <a:camera prst="orthographicFront"/>
            <a:lightRig rig="threePt" dir="t"/>
          </a:scene3d>
          <a:sp3d>
            <a:bevelT w="0"/>
          </a:sp3d>
        </c:spPr>
        <c:dLbl>
          <c:idx val="0"/>
          <c:layout>
            <c:manualLayout>
              <c:x val="0.30968767272887859"/>
              <c:y val="-3.5712002388300183E-3"/>
            </c:manualLayout>
          </c:layout>
          <c:spPr>
            <a:noFill/>
            <a:ln>
              <a:noFill/>
            </a:ln>
            <a:effectLst>
              <a:softEdge rad="292100"/>
            </a:effectLst>
          </c:spPr>
          <c:txPr>
            <a:bodyPr rot="0" spcFirstLastPara="1" vertOverflow="ellipsis" horzOverflow="clip" vert="horz" wrap="none" lIns="0" tIns="19050" rIns="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548235"/>
          </a:solidFill>
          <a:ln>
            <a:noFill/>
          </a:ln>
          <a:effectLst/>
          <a:scene3d>
            <a:camera prst="orthographicFront"/>
            <a:lightRig rig="threePt" dir="t"/>
          </a:scene3d>
          <a:sp3d>
            <a:bevelT w="0"/>
          </a:sp3d>
        </c:spPr>
        <c:dLbl>
          <c:idx val="0"/>
          <c:layout>
            <c:manualLayout>
              <c:x val="0.2859473472190065"/>
              <c:y val="3.4853158227905411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548235"/>
          </a:solidFill>
          <a:ln>
            <a:noFill/>
          </a:ln>
          <a:effectLst/>
          <a:scene3d>
            <a:camera prst="orthographicFront"/>
            <a:lightRig rig="threePt" dir="t"/>
          </a:scene3d>
          <a:sp3d>
            <a:bevelT w="0"/>
          </a:sp3d>
        </c:spPr>
        <c:dLbl>
          <c:idx val="0"/>
          <c:layout>
            <c:manualLayout>
              <c:x val="0.25176796395489154"/>
              <c:y val="0"/>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rgbClr val="548235"/>
          </a:solidFill>
          <a:ln>
            <a:noFill/>
          </a:ln>
          <a:effectLst/>
          <a:scene3d>
            <a:camera prst="orthographicFront"/>
            <a:lightRig rig="threePt" dir="t"/>
          </a:scene3d>
          <a:sp3d>
            <a:bevelT w="0"/>
          </a:sp3d>
        </c:spPr>
        <c:dLbl>
          <c:idx val="0"/>
          <c:layout>
            <c:manualLayout>
              <c:x val="0.21636072020765873"/>
              <c:y val="0"/>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rgbClr val="548235"/>
          </a:solidFill>
          <a:ln>
            <a:noFill/>
          </a:ln>
          <a:effectLst/>
          <a:scene3d>
            <a:camera prst="orthographicFront"/>
            <a:lightRig rig="threePt" dir="t"/>
          </a:scene3d>
          <a:sp3d>
            <a:bevelT w="0"/>
          </a:sp3d>
        </c:spPr>
        <c:dLbl>
          <c:idx val="0"/>
          <c:layout>
            <c:manualLayout>
              <c:x val="0.16805641163652779"/>
              <c:y val="7.0563297917411675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rgbClr val="548235"/>
          </a:solidFill>
          <a:ln>
            <a:noFill/>
          </a:ln>
          <a:effectLst/>
          <a:scene3d>
            <a:camera prst="orthographicFront"/>
            <a:lightRig rig="threePt" dir="t"/>
          </a:scene3d>
          <a:sp3d>
            <a:bevelT w="0"/>
          </a:sp3d>
        </c:spPr>
        <c:dLbl>
          <c:idx val="0"/>
          <c:layout>
            <c:manualLayout>
              <c:x val="0.15402232782598754"/>
              <c:y val="3.4854861780749856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7929837050412798"/>
          <c:y val="0.1491999816646549"/>
          <c:w val="0.53660115115158569"/>
          <c:h val="0.78729305020967577"/>
        </c:manualLayout>
      </c:layout>
      <c:barChart>
        <c:barDir val="bar"/>
        <c:grouping val="stacked"/>
        <c:varyColors val="0"/>
        <c:ser>
          <c:idx val="0"/>
          <c:order val="0"/>
          <c:tx>
            <c:strRef>
              <c:f>Calc!$B$12</c:f>
              <c:strCache>
                <c:ptCount val="1"/>
                <c:pt idx="0">
                  <c:v>Total</c:v>
                </c:pt>
              </c:strCache>
            </c:strRef>
          </c:tx>
          <c:spPr>
            <a:solidFill>
              <a:srgbClr val="548235"/>
            </a:solidFill>
            <a:ln>
              <a:noFill/>
            </a:ln>
            <a:effectLst/>
            <a:scene3d>
              <a:camera prst="orthographicFront"/>
              <a:lightRig rig="threePt" dir="t"/>
            </a:scene3d>
            <a:sp3d>
              <a:bevelT w="0"/>
            </a:sp3d>
          </c:spPr>
          <c:invertIfNegative val="0"/>
          <c:dLbls>
            <c:dLbl>
              <c:idx val="0"/>
              <c:layout>
                <c:manualLayout>
                  <c:x val="0.30968767272887859"/>
                  <c:y val="-3.5712002388300183E-3"/>
                </c:manualLayout>
              </c:layout>
              <c:spPr>
                <a:noFill/>
                <a:ln>
                  <a:noFill/>
                </a:ln>
                <a:effectLst>
                  <a:softEdge rad="292100"/>
                </a:effectLst>
              </c:spPr>
              <c:txPr>
                <a:bodyPr rot="0" spcFirstLastPara="1" vertOverflow="ellipsis" horzOverflow="clip" vert="horz" wrap="none" lIns="0" tIns="19050" rIns="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0-1D81-4FE4-B7E6-25BA03DECF97}"/>
                </c:ext>
              </c:extLst>
            </c:dLbl>
            <c:dLbl>
              <c:idx val="1"/>
              <c:layout>
                <c:manualLayout>
                  <c:x val="0.2859473472190065"/>
                  <c:y val="3.485315822790541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81-4FE4-B7E6-25BA03DECF97}"/>
                </c:ext>
              </c:extLst>
            </c:dLbl>
            <c:dLbl>
              <c:idx val="2"/>
              <c:layout>
                <c:manualLayout>
                  <c:x val="0.2517679639548915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81-4FE4-B7E6-25BA03DECF97}"/>
                </c:ext>
              </c:extLst>
            </c:dLbl>
            <c:dLbl>
              <c:idx val="3"/>
              <c:layout>
                <c:manualLayout>
                  <c:x val="0.2163607202076587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81-4FE4-B7E6-25BA03DECF97}"/>
                </c:ext>
              </c:extLst>
            </c:dLbl>
            <c:dLbl>
              <c:idx val="4"/>
              <c:layout>
                <c:manualLayout>
                  <c:x val="0.16805641163652779"/>
                  <c:y val="7.056329791741167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81-4FE4-B7E6-25BA03DECF97}"/>
                </c:ext>
              </c:extLst>
            </c:dLbl>
            <c:dLbl>
              <c:idx val="5"/>
              <c:layout>
                <c:manualLayout>
                  <c:x val="0.15402232782598754"/>
                  <c:y val="3.485486178074985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81-4FE4-B7E6-25BA03DECF97}"/>
                </c:ext>
              </c:extLst>
            </c:dLbl>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noFill/>
                      <a:round/>
                    </a:ln>
                    <a:effectLst/>
                  </c:spPr>
                </c15:leaderLines>
              </c:ext>
            </c:extLst>
          </c:dLbls>
          <c:cat>
            <c:strRef>
              <c:f>Calc!$A$13:$A$19</c:f>
              <c:strCache>
                <c:ptCount val="6"/>
                <c:pt idx="0">
                  <c:v>Technology</c:v>
                </c:pt>
                <c:pt idx="1">
                  <c:v>Fashion &amp; Retail</c:v>
                </c:pt>
                <c:pt idx="2">
                  <c:v>Finance &amp; Investments</c:v>
                </c:pt>
                <c:pt idx="3">
                  <c:v>Food &amp; Beverage</c:v>
                </c:pt>
                <c:pt idx="4">
                  <c:v>Diversified</c:v>
                </c:pt>
                <c:pt idx="5">
                  <c:v>Manufacturing</c:v>
                </c:pt>
              </c:strCache>
            </c:strRef>
          </c:cat>
          <c:val>
            <c:numRef>
              <c:f>Calc!$B$13:$B$19</c:f>
              <c:numCache>
                <c:formatCode>\$#,##0.0,"B"</c:formatCode>
                <c:ptCount val="6"/>
                <c:pt idx="0">
                  <c:v>1299800</c:v>
                </c:pt>
                <c:pt idx="1">
                  <c:v>1160200</c:v>
                </c:pt>
                <c:pt idx="2">
                  <c:v>882000</c:v>
                </c:pt>
                <c:pt idx="3">
                  <c:v>567800</c:v>
                </c:pt>
                <c:pt idx="4">
                  <c:v>492400</c:v>
                </c:pt>
                <c:pt idx="5">
                  <c:v>423400</c:v>
                </c:pt>
              </c:numCache>
            </c:numRef>
          </c:val>
          <c:extLst>
            <c:ext xmlns:c16="http://schemas.microsoft.com/office/drawing/2014/chart" uri="{C3380CC4-5D6E-409C-BE32-E72D297353CC}">
              <c16:uniqueId val="{00000006-1D81-4FE4-B7E6-25BA03DECF97}"/>
            </c:ext>
          </c:extLst>
        </c:ser>
        <c:dLbls>
          <c:showLegendKey val="0"/>
          <c:showVal val="1"/>
          <c:showCatName val="0"/>
          <c:showSerName val="0"/>
          <c:showPercent val="0"/>
          <c:showBubbleSize val="0"/>
        </c:dLbls>
        <c:gapWidth val="48"/>
        <c:axId val="694161568"/>
        <c:axId val="694162048"/>
      </c:barChart>
      <c:catAx>
        <c:axId val="694161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94162048"/>
        <c:crosses val="autoZero"/>
        <c:auto val="1"/>
        <c:lblAlgn val="ctr"/>
        <c:lblOffset val="100"/>
        <c:noMultiLvlLbl val="0"/>
      </c:catAx>
      <c:valAx>
        <c:axId val="694162048"/>
        <c:scaling>
          <c:orientation val="minMax"/>
        </c:scaling>
        <c:delete val="1"/>
        <c:axPos val="t"/>
        <c:numFmt formatCode="\$#,##0.0,&quot;B&quot;" sourceLinked="1"/>
        <c:majorTickMark val="none"/>
        <c:minorTickMark val="none"/>
        <c:tickLblPos val="nextTo"/>
        <c:crossAx val="694161568"/>
        <c:crosses val="autoZero"/>
        <c:crossBetween val="between"/>
      </c:valAx>
      <c:spPr>
        <a:noFill/>
        <a:ln w="0">
          <a:noFill/>
        </a:ln>
        <a:effectLst>
          <a:softEdge rad="3683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.xlsx]Calc!PivotTable10</c:name>
    <c:fmtId val="13"/>
  </c:pivotSource>
  <c:chart>
    <c:title>
      <c:tx>
        <c:rich>
          <a:bodyPr rot="0" spcFirstLastPara="1" vertOverflow="ellipsis" vert="horz" wrap="square" anchor="ctr" anchorCtr="1"/>
          <a:lstStyle/>
          <a:p>
            <a:pPr>
              <a:defRPr sz="2400" b="1" i="0" u="none" strike="noStrike" kern="1200" spc="0" baseline="0">
                <a:solidFill>
                  <a:srgbClr val="548235"/>
                </a:solidFill>
                <a:latin typeface="+mn-lt"/>
                <a:ea typeface="+mn-ea"/>
                <a:cs typeface="+mn-cs"/>
              </a:defRPr>
            </a:pPr>
            <a:r>
              <a:rPr lang="en-US" sz="2400" b="1">
                <a:solidFill>
                  <a:srgbClr val="548235"/>
                </a:solidFill>
              </a:rPr>
              <a:t>Male</a:t>
            </a:r>
            <a:r>
              <a:rPr lang="en-US" sz="2400" b="1" baseline="0">
                <a:solidFill>
                  <a:srgbClr val="548235"/>
                </a:solidFill>
              </a:rPr>
              <a:t> and female (count)</a:t>
            </a:r>
            <a:endParaRPr lang="en-US" sz="2400" b="1">
              <a:solidFill>
                <a:srgbClr val="548235"/>
              </a:solidFill>
            </a:endParaRPr>
          </a:p>
        </c:rich>
      </c:tx>
      <c:layout>
        <c:manualLayout>
          <c:xMode val="edge"/>
          <c:yMode val="edge"/>
          <c:x val="4.5974877391809617E-2"/>
          <c:y val="3.7371846934331487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rgbClr val="548235"/>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rgbClr val="548235"/>
          </a:solidFill>
          <a:ln w="19050">
            <a:noFill/>
          </a:ln>
          <a:effectLst/>
        </c:spPr>
        <c:dLbl>
          <c:idx val="0"/>
          <c:layout>
            <c:manualLayout>
              <c:x val="0.50783799757156312"/>
              <c:y val="-0.30237221610504561"/>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r>
                  <a:rPr lang="en-US"/>
                  <a:t>(</a:t>
                </a:r>
                <a:fld id="{5578D174-D54C-4F06-90BC-0D0EF3DEE7B8}" type="VALUE">
                  <a:rPr lang="en-US"/>
                  <a:pPr>
                    <a:defRPr sz="1050" b="0" i="0" u="none" strike="noStrike" kern="1200" baseline="0">
                      <a:solidFill>
                        <a:schemeClr val="tx1">
                          <a:lumMod val="75000"/>
                          <a:lumOff val="25000"/>
                        </a:schemeClr>
                      </a:solidFill>
                      <a:latin typeface="+mn-lt"/>
                      <a:ea typeface="+mn-ea"/>
                      <a:cs typeface="+mn-cs"/>
                    </a:defRPr>
                  </a:pPr>
                  <a:t>[VALUE]</a:t>
                </a:fld>
                <a:r>
                  <a:rPr lang="en-US" baseline="0"/>
                  <a:t>) </a:t>
                </a:r>
                <a:fld id="{921B4C1E-71C5-4C16-BF40-8FFC5E904A26}" type="PERCENTAGE">
                  <a:rPr lang="en-US" baseline="0"/>
                  <a:pPr>
                    <a:defRPr sz="105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4"/>
        <c:spPr>
          <a:solidFill>
            <a:srgbClr val="C5E0B4"/>
          </a:solidFill>
          <a:ln w="19050">
            <a:noFill/>
          </a:ln>
          <a:effectLst/>
        </c:spPr>
        <c:dLbl>
          <c:idx val="0"/>
          <c:layout>
            <c:manualLayout>
              <c:x val="0.38353557587106651"/>
              <c:y val="0.10896341143701573"/>
            </c:manualLayout>
          </c:layout>
          <c:tx>
            <c:rich>
              <a:bodyPr rot="0" spcFirstLastPara="1" vertOverflow="ellipsis" horzOverflow="clip" vert="horz" wrap="none" lIns="38100" tIns="19050" rIns="38100" bIns="19050" anchor="ctr" anchorCtr="1">
                <a:spAutoFit/>
              </a:bodyPr>
              <a:lstStyle/>
              <a:p>
                <a:pPr>
                  <a:defRPr sz="1050" b="0" i="0" u="none" strike="noStrike" kern="1200" baseline="0">
                    <a:solidFill>
                      <a:sysClr val="windowText" lastClr="000000">
                        <a:lumMod val="75000"/>
                        <a:lumOff val="25000"/>
                      </a:sysClr>
                    </a:solidFill>
                    <a:latin typeface="+mn-lt"/>
                    <a:ea typeface="+mn-ea"/>
                    <a:cs typeface="+mn-cs"/>
                  </a:defRPr>
                </a:pPr>
                <a:r>
                  <a:rPr lang="en-US" sz="1050">
                    <a:solidFill>
                      <a:sysClr val="windowText" lastClr="000000">
                        <a:lumMod val="75000"/>
                        <a:lumOff val="25000"/>
                      </a:sysClr>
                    </a:solidFill>
                  </a:rPr>
                  <a:t>(</a:t>
                </a:r>
                <a:fld id="{70222B88-A1CB-4A27-84F3-BDE016854527}" type="VALUE">
                  <a:rPr lang="en-US" sz="1050">
                    <a:solidFill>
                      <a:sysClr val="windowText" lastClr="000000">
                        <a:lumMod val="75000"/>
                        <a:lumOff val="25000"/>
                      </a:sysClr>
                    </a:solidFill>
                  </a:rPr>
                  <a:pPr>
                    <a:defRPr sz="1050" b="0" i="0" u="none" strike="noStrike" kern="1200" baseline="0">
                      <a:solidFill>
                        <a:sysClr val="windowText" lastClr="000000">
                          <a:lumMod val="75000"/>
                          <a:lumOff val="25000"/>
                        </a:sysClr>
                      </a:solidFill>
                      <a:latin typeface="+mn-lt"/>
                      <a:ea typeface="+mn-ea"/>
                      <a:cs typeface="+mn-cs"/>
                    </a:defRPr>
                  </a:pPr>
                  <a:t>[VALUE]</a:t>
                </a:fld>
                <a:r>
                  <a:rPr lang="en-US" sz="1050" baseline="0">
                    <a:solidFill>
                      <a:sysClr val="windowText" lastClr="000000">
                        <a:lumMod val="75000"/>
                        <a:lumOff val="25000"/>
                      </a:sysClr>
                    </a:solidFill>
                  </a:rPr>
                  <a:t>) </a:t>
                </a:r>
                <a:fld id="{38853CD7-A655-426C-8744-373A34B5B432}" type="PERCENTAGE">
                  <a:rPr lang="en-US" sz="1050" baseline="0">
                    <a:solidFill>
                      <a:sysClr val="windowText" lastClr="000000">
                        <a:lumMod val="75000"/>
                        <a:lumOff val="25000"/>
                      </a:sysClr>
                    </a:solidFill>
                  </a:rPr>
                  <a:pPr>
                    <a:defRPr sz="1050" b="0" i="0" u="none" strike="noStrike" kern="1200" baseline="0">
                      <a:solidFill>
                        <a:sysClr val="windowText" lastClr="000000">
                          <a:lumMod val="75000"/>
                          <a:lumOff val="25000"/>
                        </a:sysClr>
                      </a:solidFill>
                      <a:latin typeface="+mn-lt"/>
                      <a:ea typeface="+mn-ea"/>
                      <a:cs typeface="+mn-cs"/>
                    </a:defRPr>
                  </a:pPr>
                  <a:t>[PERCENTAGE]</a:t>
                </a:fld>
                <a:endParaRPr lang="en-US" sz="1050" baseline="0">
                  <a:solidFill>
                    <a:sysClr val="windowText" lastClr="000000">
                      <a:lumMod val="75000"/>
                      <a:lumOff val="25000"/>
                    </a:sysClr>
                  </a:solidFill>
                </a:endParaRPr>
              </a:p>
            </c:rich>
          </c:tx>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5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5"/>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rgbClr val="C5E0B4"/>
          </a:solidFill>
          <a:ln w="19050">
            <a:noFill/>
          </a:ln>
          <a:effectLst/>
        </c:spPr>
        <c:dLbl>
          <c:idx val="0"/>
          <c:layout>
            <c:manualLayout>
              <c:x val="0.38353557587106651"/>
              <c:y val="0.10896341143701573"/>
            </c:manualLayout>
          </c:layout>
          <c:tx>
            <c:rich>
              <a:bodyPr rot="0" spcFirstLastPara="1" vertOverflow="ellipsis" horzOverflow="clip" vert="horz" wrap="none" lIns="38100" tIns="19050" rIns="38100" bIns="19050" anchor="ctr" anchorCtr="1">
                <a:spAutoFit/>
              </a:bodyPr>
              <a:lstStyle/>
              <a:p>
                <a:pPr>
                  <a:defRPr sz="1050" b="0" i="0" u="none" strike="noStrike" kern="1200" baseline="0">
                    <a:solidFill>
                      <a:sysClr val="windowText" lastClr="000000">
                        <a:lumMod val="75000"/>
                        <a:lumOff val="25000"/>
                      </a:sysClr>
                    </a:solidFill>
                    <a:latin typeface="+mn-lt"/>
                    <a:ea typeface="+mn-ea"/>
                    <a:cs typeface="+mn-cs"/>
                  </a:defRPr>
                </a:pPr>
                <a:r>
                  <a:rPr lang="en-US" sz="1050">
                    <a:solidFill>
                      <a:sysClr val="windowText" lastClr="000000">
                        <a:lumMod val="75000"/>
                        <a:lumOff val="25000"/>
                      </a:sysClr>
                    </a:solidFill>
                  </a:rPr>
                  <a:t>(</a:t>
                </a:r>
                <a:fld id="{70222B88-A1CB-4A27-84F3-BDE016854527}" type="VALUE">
                  <a:rPr lang="en-US" sz="1050">
                    <a:solidFill>
                      <a:sysClr val="windowText" lastClr="000000">
                        <a:lumMod val="75000"/>
                        <a:lumOff val="25000"/>
                      </a:sysClr>
                    </a:solidFill>
                  </a:rPr>
                  <a:pPr>
                    <a:defRPr sz="1050" b="0" i="0" u="none" strike="noStrike" kern="1200" baseline="0">
                      <a:solidFill>
                        <a:sysClr val="windowText" lastClr="000000">
                          <a:lumMod val="75000"/>
                          <a:lumOff val="25000"/>
                        </a:sysClr>
                      </a:solidFill>
                      <a:latin typeface="+mn-lt"/>
                      <a:ea typeface="+mn-ea"/>
                      <a:cs typeface="+mn-cs"/>
                    </a:defRPr>
                  </a:pPr>
                  <a:t>[VALUE]</a:t>
                </a:fld>
                <a:r>
                  <a:rPr lang="en-US" sz="1050" baseline="0">
                    <a:solidFill>
                      <a:sysClr val="windowText" lastClr="000000">
                        <a:lumMod val="75000"/>
                        <a:lumOff val="25000"/>
                      </a:sysClr>
                    </a:solidFill>
                  </a:rPr>
                  <a:t>) </a:t>
                </a:r>
                <a:fld id="{38853CD7-A655-426C-8744-373A34B5B432}" type="PERCENTAGE">
                  <a:rPr lang="en-US" sz="1050" baseline="0">
                    <a:solidFill>
                      <a:sysClr val="windowText" lastClr="000000">
                        <a:lumMod val="75000"/>
                        <a:lumOff val="25000"/>
                      </a:sysClr>
                    </a:solidFill>
                  </a:rPr>
                  <a:pPr>
                    <a:defRPr sz="1050" b="0" i="0" u="none" strike="noStrike" kern="1200" baseline="0">
                      <a:solidFill>
                        <a:sysClr val="windowText" lastClr="000000">
                          <a:lumMod val="75000"/>
                          <a:lumOff val="25000"/>
                        </a:sysClr>
                      </a:solidFill>
                      <a:latin typeface="+mn-lt"/>
                      <a:ea typeface="+mn-ea"/>
                      <a:cs typeface="+mn-cs"/>
                    </a:defRPr>
                  </a:pPr>
                  <a:t>[PERCENTAGE]</a:t>
                </a:fld>
                <a:endParaRPr lang="en-US" sz="1050" baseline="0">
                  <a:solidFill>
                    <a:sysClr val="windowText" lastClr="000000">
                      <a:lumMod val="75000"/>
                      <a:lumOff val="25000"/>
                    </a:sysClr>
                  </a:solidFill>
                </a:endParaRPr>
              </a:p>
            </c:rich>
          </c:tx>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5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7"/>
        <c:spPr>
          <a:solidFill>
            <a:srgbClr val="548235"/>
          </a:solidFill>
          <a:ln w="19050">
            <a:noFill/>
          </a:ln>
          <a:effectLst/>
        </c:spPr>
        <c:dLbl>
          <c:idx val="0"/>
          <c:layout>
            <c:manualLayout>
              <c:x val="0.50783799757156312"/>
              <c:y val="-0.30237221610504561"/>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r>
                  <a:rPr lang="en-US"/>
                  <a:t>(</a:t>
                </a:r>
                <a:fld id="{5578D174-D54C-4F06-90BC-0D0EF3DEE7B8}" type="VALUE">
                  <a:rPr lang="en-US"/>
                  <a:pPr>
                    <a:defRPr sz="1050" b="0" i="0" u="none" strike="noStrike" kern="1200" baseline="0">
                      <a:solidFill>
                        <a:schemeClr val="tx1">
                          <a:lumMod val="75000"/>
                          <a:lumOff val="25000"/>
                        </a:schemeClr>
                      </a:solidFill>
                      <a:latin typeface="+mn-lt"/>
                      <a:ea typeface="+mn-ea"/>
                      <a:cs typeface="+mn-cs"/>
                    </a:defRPr>
                  </a:pPr>
                  <a:t>[VALUE]</a:t>
                </a:fld>
                <a:r>
                  <a:rPr lang="en-US" baseline="0"/>
                  <a:t>) </a:t>
                </a:r>
                <a:fld id="{921B4C1E-71C5-4C16-BF40-8FFC5E904A26}" type="PERCENTAGE">
                  <a:rPr lang="en-US" baseline="0"/>
                  <a:pPr>
                    <a:defRPr sz="105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8"/>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C5E0B4"/>
          </a:solidFill>
          <a:ln w="19050">
            <a:noFill/>
          </a:ln>
          <a:effectLst/>
        </c:spPr>
        <c:dLbl>
          <c:idx val="0"/>
          <c:layout>
            <c:manualLayout>
              <c:x val="0.44464744887740615"/>
              <c:y val="0.10197980435300184"/>
            </c:manualLayout>
          </c:layout>
          <c:tx>
            <c:rich>
              <a:bodyPr rot="0" spcFirstLastPara="1" vertOverflow="ellipsis" horzOverflow="clip" vert="horz" wrap="none" lIns="38100" tIns="19050" rIns="38100" bIns="19050" anchor="ctr" anchorCtr="1">
                <a:spAutoFit/>
              </a:bodyPr>
              <a:lstStyle/>
              <a:p>
                <a:pPr>
                  <a:defRPr sz="1100" b="0" i="0" u="none" strike="noStrike" kern="1200" baseline="0">
                    <a:solidFill>
                      <a:sysClr val="windowText" lastClr="000000">
                        <a:lumMod val="75000"/>
                        <a:lumOff val="25000"/>
                      </a:sysClr>
                    </a:solidFill>
                    <a:latin typeface="+mn-lt"/>
                    <a:ea typeface="+mn-ea"/>
                    <a:cs typeface="+mn-cs"/>
                  </a:defRPr>
                </a:pPr>
                <a:r>
                  <a:rPr lang="en-US" sz="1100">
                    <a:solidFill>
                      <a:sysClr val="windowText" lastClr="000000">
                        <a:lumMod val="75000"/>
                        <a:lumOff val="25000"/>
                      </a:sysClr>
                    </a:solidFill>
                  </a:rPr>
                  <a:t>(</a:t>
                </a:r>
                <a:fld id="{70222B88-A1CB-4A27-84F3-BDE016854527}" type="VALUE">
                  <a:rPr lang="en-US" sz="1100">
                    <a:solidFill>
                      <a:sysClr val="windowText" lastClr="000000">
                        <a:lumMod val="75000"/>
                        <a:lumOff val="25000"/>
                      </a:sysClr>
                    </a:solidFill>
                  </a:rPr>
                  <a:pPr>
                    <a:defRPr sz="1100">
                      <a:solidFill>
                        <a:sysClr val="windowText" lastClr="000000">
                          <a:lumMod val="75000"/>
                          <a:lumOff val="25000"/>
                        </a:sysClr>
                      </a:solidFill>
                    </a:defRPr>
                  </a:pPr>
                  <a:t>[VALUE]</a:t>
                </a:fld>
                <a:r>
                  <a:rPr lang="en-US" sz="1100" baseline="0">
                    <a:solidFill>
                      <a:sysClr val="windowText" lastClr="000000">
                        <a:lumMod val="75000"/>
                        <a:lumOff val="25000"/>
                      </a:sysClr>
                    </a:solidFill>
                  </a:rPr>
                  <a:t>) </a:t>
                </a:r>
                <a:fld id="{38853CD7-A655-426C-8744-373A34B5B432}" type="PERCENTAGE">
                  <a:rPr lang="en-US" sz="1100" baseline="0">
                    <a:solidFill>
                      <a:sysClr val="windowText" lastClr="000000">
                        <a:lumMod val="75000"/>
                        <a:lumOff val="25000"/>
                      </a:sysClr>
                    </a:solidFill>
                  </a:rPr>
                  <a:pPr>
                    <a:defRPr sz="1100">
                      <a:solidFill>
                        <a:sysClr val="windowText" lastClr="000000">
                          <a:lumMod val="75000"/>
                          <a:lumOff val="25000"/>
                        </a:sysClr>
                      </a:solidFill>
                    </a:defRPr>
                  </a:pPr>
                  <a:t>[PERCENTAGE]</a:t>
                </a:fld>
                <a:endParaRPr lang="en-US" sz="1100" baseline="0">
                  <a:solidFill>
                    <a:sysClr val="windowText" lastClr="000000">
                      <a:lumMod val="75000"/>
                      <a:lumOff val="25000"/>
                    </a:sysClr>
                  </a:solidFill>
                </a:endParaRPr>
              </a:p>
            </c:rich>
          </c:tx>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1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0"/>
        <c:spPr>
          <a:solidFill>
            <a:srgbClr val="548235"/>
          </a:solidFill>
          <a:ln w="19050">
            <a:noFill/>
          </a:ln>
          <a:effectLst/>
        </c:spPr>
        <c:dLbl>
          <c:idx val="0"/>
          <c:layout>
            <c:manualLayout>
              <c:x val="0.60733186066702871"/>
              <c:y val="-0.29050729873659348"/>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r>
                  <a:rPr lang="en-US" sz="1100"/>
                  <a:t>(</a:t>
                </a:r>
                <a:fld id="{5578D174-D54C-4F06-90BC-0D0EF3DEE7B8}" type="VALUE">
                  <a:rPr lang="en-US" sz="1100"/>
                  <a:pPr>
                    <a:defRPr sz="1100"/>
                  </a:pPr>
                  <a:t>[VALUE]</a:t>
                </a:fld>
                <a:r>
                  <a:rPr lang="en-US" sz="1100" baseline="0"/>
                  <a:t>) </a:t>
                </a:r>
                <a:fld id="{921B4C1E-71C5-4C16-BF40-8FFC5E904A26}" type="PERCENTAGE">
                  <a:rPr lang="en-US" sz="1100" baseline="0"/>
                  <a:pPr>
                    <a:defRPr sz="1100"/>
                  </a:pPr>
                  <a:t>[PERCENTAGE]</a:t>
                </a:fld>
                <a:endParaRPr lang="en-US" sz="1100"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7.6198066662960445E-2"/>
          <c:y val="0.22548113139431858"/>
          <c:w val="0.55553907446569106"/>
          <c:h val="0.66893056220982083"/>
        </c:manualLayout>
      </c:layout>
      <c:doughnutChart>
        <c:varyColors val="1"/>
        <c:ser>
          <c:idx val="0"/>
          <c:order val="0"/>
          <c:tx>
            <c:strRef>
              <c:f>Calc!$B$7</c:f>
              <c:strCache>
                <c:ptCount val="1"/>
                <c:pt idx="0">
                  <c:v>Total</c:v>
                </c:pt>
              </c:strCache>
            </c:strRef>
          </c:tx>
          <c:spPr>
            <a:ln>
              <a:noFill/>
            </a:ln>
          </c:spPr>
          <c:dPt>
            <c:idx val="0"/>
            <c:bubble3D val="0"/>
            <c:spPr>
              <a:solidFill>
                <a:srgbClr val="C5E0B4"/>
              </a:solidFill>
              <a:ln w="19050">
                <a:noFill/>
              </a:ln>
              <a:effectLst/>
            </c:spPr>
            <c:extLst>
              <c:ext xmlns:c16="http://schemas.microsoft.com/office/drawing/2014/chart" uri="{C3380CC4-5D6E-409C-BE32-E72D297353CC}">
                <c16:uniqueId val="{00000001-99E9-4FA4-B07E-D1B29B9B925A}"/>
              </c:ext>
            </c:extLst>
          </c:dPt>
          <c:dPt>
            <c:idx val="1"/>
            <c:bubble3D val="0"/>
            <c:spPr>
              <a:solidFill>
                <a:srgbClr val="548235"/>
              </a:solidFill>
              <a:ln w="19050">
                <a:noFill/>
              </a:ln>
              <a:effectLst/>
            </c:spPr>
            <c:extLst>
              <c:ext xmlns:c16="http://schemas.microsoft.com/office/drawing/2014/chart" uri="{C3380CC4-5D6E-409C-BE32-E72D297353CC}">
                <c16:uniqueId val="{00000003-99E9-4FA4-B07E-D1B29B9B925A}"/>
              </c:ext>
            </c:extLst>
          </c:dPt>
          <c:dLbls>
            <c:dLbl>
              <c:idx val="0"/>
              <c:layout>
                <c:manualLayout>
                  <c:x val="0.44464744887740615"/>
                  <c:y val="0.10197980435300184"/>
                </c:manualLayout>
              </c:layout>
              <c:tx>
                <c:rich>
                  <a:bodyPr rot="0" spcFirstLastPara="1" vertOverflow="ellipsis" horzOverflow="clip" vert="horz" wrap="none" lIns="38100" tIns="19050" rIns="38100" bIns="19050" anchor="ctr" anchorCtr="1">
                    <a:spAutoFit/>
                  </a:bodyPr>
                  <a:lstStyle/>
                  <a:p>
                    <a:pPr>
                      <a:defRPr sz="1100" b="0" i="0" u="none" strike="noStrike" kern="1200" baseline="0">
                        <a:solidFill>
                          <a:sysClr val="windowText" lastClr="000000">
                            <a:lumMod val="75000"/>
                            <a:lumOff val="25000"/>
                          </a:sysClr>
                        </a:solidFill>
                        <a:latin typeface="+mn-lt"/>
                        <a:ea typeface="+mn-ea"/>
                        <a:cs typeface="+mn-cs"/>
                      </a:defRPr>
                    </a:pPr>
                    <a:r>
                      <a:rPr lang="en-US" sz="1100">
                        <a:solidFill>
                          <a:sysClr val="windowText" lastClr="000000">
                            <a:lumMod val="75000"/>
                            <a:lumOff val="25000"/>
                          </a:sysClr>
                        </a:solidFill>
                      </a:rPr>
                      <a:t>(</a:t>
                    </a:r>
                    <a:fld id="{70222B88-A1CB-4A27-84F3-BDE016854527}" type="VALUE">
                      <a:rPr lang="en-US" sz="1100">
                        <a:solidFill>
                          <a:sysClr val="windowText" lastClr="000000">
                            <a:lumMod val="75000"/>
                            <a:lumOff val="25000"/>
                          </a:sysClr>
                        </a:solidFill>
                      </a:rPr>
                      <a:pPr>
                        <a:defRPr sz="1100">
                          <a:solidFill>
                            <a:sysClr val="windowText" lastClr="000000">
                              <a:lumMod val="75000"/>
                              <a:lumOff val="25000"/>
                            </a:sysClr>
                          </a:solidFill>
                        </a:defRPr>
                      </a:pPr>
                      <a:t>[VALUE]</a:t>
                    </a:fld>
                    <a:r>
                      <a:rPr lang="en-US" sz="1100" baseline="0">
                        <a:solidFill>
                          <a:sysClr val="windowText" lastClr="000000">
                            <a:lumMod val="75000"/>
                            <a:lumOff val="25000"/>
                          </a:sysClr>
                        </a:solidFill>
                      </a:rPr>
                      <a:t>) </a:t>
                    </a:r>
                    <a:fld id="{38853CD7-A655-426C-8744-373A34B5B432}" type="PERCENTAGE">
                      <a:rPr lang="en-US" sz="1100" baseline="0">
                        <a:solidFill>
                          <a:sysClr val="windowText" lastClr="000000">
                            <a:lumMod val="75000"/>
                            <a:lumOff val="25000"/>
                          </a:sysClr>
                        </a:solidFill>
                      </a:rPr>
                      <a:pPr>
                        <a:defRPr sz="1100">
                          <a:solidFill>
                            <a:sysClr val="windowText" lastClr="000000">
                              <a:lumMod val="75000"/>
                              <a:lumOff val="25000"/>
                            </a:sysClr>
                          </a:solidFill>
                        </a:defRPr>
                      </a:pPr>
                      <a:t>[PERCENTAGE]</a:t>
                    </a:fld>
                    <a:endParaRPr lang="en-US" sz="1100" baseline="0">
                      <a:solidFill>
                        <a:sysClr val="windowText" lastClr="000000">
                          <a:lumMod val="75000"/>
                          <a:lumOff val="25000"/>
                        </a:sysClr>
                      </a:solidFill>
                    </a:endParaRPr>
                  </a:p>
                </c:rich>
              </c:tx>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1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1-99E9-4FA4-B07E-D1B29B9B925A}"/>
                </c:ext>
              </c:extLst>
            </c:dLbl>
            <c:dLbl>
              <c:idx val="1"/>
              <c:layout>
                <c:manualLayout>
                  <c:x val="0.60733186066702871"/>
                  <c:y val="-0.29050729873659348"/>
                </c:manualLayout>
              </c:layout>
              <c:tx>
                <c:rich>
                  <a:bodyPr/>
                  <a:lstStyle/>
                  <a:p>
                    <a:r>
                      <a:rPr lang="en-US" sz="1100"/>
                      <a:t>(</a:t>
                    </a:r>
                    <a:fld id="{5578D174-D54C-4F06-90BC-0D0EF3DEE7B8}" type="VALUE">
                      <a:rPr lang="en-US" sz="1100"/>
                      <a:pPr/>
                      <a:t>[VALUE]</a:t>
                    </a:fld>
                    <a:r>
                      <a:rPr lang="en-US" sz="1100" baseline="0"/>
                      <a:t>) </a:t>
                    </a:r>
                    <a:fld id="{921B4C1E-71C5-4C16-BF40-8FFC5E904A26}" type="PERCENTAGE">
                      <a:rPr lang="en-US" sz="1100" baseline="0"/>
                      <a:pPr/>
                      <a:t>[PERCENTAGE]</a:t>
                    </a:fld>
                    <a:endParaRPr lang="en-US" sz="1100" baseline="0"/>
                  </a:p>
                </c:rich>
              </c:tx>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99E9-4FA4-B07E-D1B29B9B925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Calc!$A$8:$A$10</c:f>
              <c:strCache>
                <c:ptCount val="2"/>
                <c:pt idx="0">
                  <c:v>Female</c:v>
                </c:pt>
                <c:pt idx="1">
                  <c:v>Male</c:v>
                </c:pt>
              </c:strCache>
            </c:strRef>
          </c:cat>
          <c:val>
            <c:numRef>
              <c:f>Calc!$B$8:$B$10</c:f>
              <c:numCache>
                <c:formatCode>General</c:formatCode>
                <c:ptCount val="2"/>
                <c:pt idx="0">
                  <c:v>68</c:v>
                </c:pt>
                <c:pt idx="1">
                  <c:v>407</c:v>
                </c:pt>
              </c:numCache>
            </c:numRef>
          </c:val>
          <c:extLst>
            <c:ext xmlns:c16="http://schemas.microsoft.com/office/drawing/2014/chart" uri="{C3380CC4-5D6E-409C-BE32-E72D297353CC}">
              <c16:uniqueId val="{00000004-99E9-4FA4-B07E-D1B29B9B925A}"/>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r"/>
      <c:layout>
        <c:manualLayout>
          <c:xMode val="edge"/>
          <c:yMode val="edge"/>
          <c:x val="0.66827289046364691"/>
          <c:y val="0.38936894163251795"/>
          <c:w val="0.15703539903463537"/>
          <c:h val="0.1559357088595619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.xlsx]Calc!PivotTable22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1" i="0">
                <a:solidFill>
                  <a:srgbClr val="548235"/>
                </a:solidFill>
                <a:effectLst/>
              </a:rPr>
              <a:t>Wealth by Country (Top 5)</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548235"/>
          </a:solidFill>
          <a:ln>
            <a:noFill/>
          </a:ln>
          <a:effectLst>
            <a:glow rad="127000">
              <a:schemeClr val="bg2">
                <a:lumMod val="9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48235"/>
          </a:solidFill>
          <a:ln>
            <a:noFill/>
          </a:ln>
          <a:effectLst>
            <a:glow rad="127000">
              <a:schemeClr val="bg2">
                <a:lumMod val="9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48235"/>
          </a:solidFill>
          <a:ln>
            <a:noFill/>
          </a:ln>
          <a:effectLst>
            <a:glow rad="127000">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Calc!$B$21</c:f>
              <c:strCache>
                <c:ptCount val="1"/>
                <c:pt idx="0">
                  <c:v>Total</c:v>
                </c:pt>
              </c:strCache>
            </c:strRef>
          </c:tx>
          <c:spPr>
            <a:solidFill>
              <a:srgbClr val="548235"/>
            </a:solidFill>
            <a:ln>
              <a:noFill/>
            </a:ln>
            <a:effectLst>
              <a:glow rad="127000">
                <a:schemeClr val="bg1"/>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Calc!$A$22:$A$27</c:f>
              <c:strCache>
                <c:ptCount val="5"/>
                <c:pt idx="0">
                  <c:v>United States</c:v>
                </c:pt>
                <c:pt idx="1">
                  <c:v>China</c:v>
                </c:pt>
                <c:pt idx="2">
                  <c:v>France</c:v>
                </c:pt>
                <c:pt idx="3">
                  <c:v>India</c:v>
                </c:pt>
                <c:pt idx="4">
                  <c:v>Germany</c:v>
                </c:pt>
              </c:strCache>
            </c:strRef>
          </c:cat>
          <c:val>
            <c:numRef>
              <c:f>Calc!$B$22:$B$27</c:f>
              <c:numCache>
                <c:formatCode>\$#,##0.0,"B"</c:formatCode>
                <c:ptCount val="5"/>
                <c:pt idx="0">
                  <c:v>3145000</c:v>
                </c:pt>
                <c:pt idx="1">
                  <c:v>901700</c:v>
                </c:pt>
                <c:pt idx="2">
                  <c:v>451600</c:v>
                </c:pt>
                <c:pt idx="3">
                  <c:v>333200</c:v>
                </c:pt>
                <c:pt idx="4">
                  <c:v>256200</c:v>
                </c:pt>
              </c:numCache>
            </c:numRef>
          </c:val>
          <c:extLst>
            <c:ext xmlns:c16="http://schemas.microsoft.com/office/drawing/2014/chart" uri="{C3380CC4-5D6E-409C-BE32-E72D297353CC}">
              <c16:uniqueId val="{00000000-DBDF-45DF-B8FD-2F4525581F23}"/>
            </c:ext>
          </c:extLst>
        </c:ser>
        <c:dLbls>
          <c:showLegendKey val="0"/>
          <c:showVal val="0"/>
          <c:showCatName val="0"/>
          <c:showSerName val="0"/>
          <c:showPercent val="0"/>
          <c:showBubbleSize val="0"/>
        </c:dLbls>
        <c:gapWidth val="71"/>
        <c:overlap val="-27"/>
        <c:axId val="398869935"/>
        <c:axId val="398870895"/>
      </c:barChart>
      <c:catAx>
        <c:axId val="39886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70895"/>
        <c:crosses val="autoZero"/>
        <c:auto val="1"/>
        <c:lblAlgn val="ctr"/>
        <c:lblOffset val="100"/>
        <c:noMultiLvlLbl val="0"/>
      </c:catAx>
      <c:valAx>
        <c:axId val="398870895"/>
        <c:scaling>
          <c:orientation val="minMax"/>
        </c:scaling>
        <c:delete val="1"/>
        <c:axPos val="l"/>
        <c:numFmt formatCode="\$#,##0.0,&quot;B&quot;" sourceLinked="1"/>
        <c:majorTickMark val="none"/>
        <c:minorTickMark val="none"/>
        <c:tickLblPos val="nextTo"/>
        <c:crossAx val="39886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2</xdr:col>
      <xdr:colOff>2209032</xdr:colOff>
      <xdr:row>3</xdr:row>
      <xdr:rowOff>50217</xdr:rowOff>
    </xdr:from>
    <xdr:ext cx="3204694" cy="1114911"/>
    <xdr:pic>
      <xdr:nvPicPr>
        <xdr:cNvPr id="2" name="Picture 1">
          <a:hlinkClick xmlns:r="http://schemas.openxmlformats.org/officeDocument/2006/relationships" r:id="rId1"/>
          <a:extLst>
            <a:ext uri="{FF2B5EF4-FFF2-40B4-BE49-F238E27FC236}">
              <a16:creationId xmlns:a16="http://schemas.microsoft.com/office/drawing/2014/main" id="{2A5A5A4F-775D-480C-A8C1-F6E68EF3F690}"/>
            </a:ext>
          </a:extLst>
        </xdr:cNvPr>
        <xdr:cNvPicPr>
          <a:picLocks noChangeAspect="1"/>
        </xdr:cNvPicPr>
      </xdr:nvPicPr>
      <xdr:blipFill>
        <a:blip xmlns:r="http://schemas.openxmlformats.org/officeDocument/2006/relationships" r:embed="rId2"/>
        <a:stretch>
          <a:fillRect/>
        </a:stretch>
      </xdr:blipFill>
      <xdr:spPr>
        <a:xfrm>
          <a:off x="3685407" y="1228142"/>
          <a:ext cx="3204694" cy="111491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12</xdr:col>
      <xdr:colOff>460847</xdr:colOff>
      <xdr:row>21</xdr:row>
      <xdr:rowOff>100118</xdr:rowOff>
    </xdr:from>
    <xdr:to>
      <xdr:col>16</xdr:col>
      <xdr:colOff>1264204</xdr:colOff>
      <xdr:row>34</xdr:row>
      <xdr:rowOff>151858</xdr:rowOff>
    </xdr:to>
    <xdr:graphicFrame macro="">
      <xdr:nvGraphicFramePr>
        <xdr:cNvPr id="3" name="Chart 2">
          <a:extLst>
            <a:ext uri="{FF2B5EF4-FFF2-40B4-BE49-F238E27FC236}">
              <a16:creationId xmlns:a16="http://schemas.microsoft.com/office/drawing/2014/main" id="{FB5C6164-E928-0509-754A-397BCEB52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517177</xdr:colOff>
      <xdr:row>6</xdr:row>
      <xdr:rowOff>175836</xdr:rowOff>
    </xdr:from>
    <xdr:to>
      <xdr:col>11</xdr:col>
      <xdr:colOff>677071</xdr:colOff>
      <xdr:row>21</xdr:row>
      <xdr:rowOff>181599</xdr:rowOff>
    </xdr:to>
    <xdr:graphicFrame macro="">
      <xdr:nvGraphicFramePr>
        <xdr:cNvPr id="15" name="Chart 14">
          <a:extLst>
            <a:ext uri="{FF2B5EF4-FFF2-40B4-BE49-F238E27FC236}">
              <a16:creationId xmlns:a16="http://schemas.microsoft.com/office/drawing/2014/main" id="{17972A82-CB22-9053-F725-7A7D60C6F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407620</xdr:colOff>
      <xdr:row>7</xdr:row>
      <xdr:rowOff>4711</xdr:rowOff>
    </xdr:from>
    <xdr:to>
      <xdr:col>16</xdr:col>
      <xdr:colOff>994166</xdr:colOff>
      <xdr:row>19</xdr:row>
      <xdr:rowOff>121361</xdr:rowOff>
    </xdr:to>
    <xdr:graphicFrame macro="">
      <xdr:nvGraphicFramePr>
        <xdr:cNvPr id="17" name="Chart 16">
          <a:extLst>
            <a:ext uri="{FF2B5EF4-FFF2-40B4-BE49-F238E27FC236}">
              <a16:creationId xmlns:a16="http://schemas.microsoft.com/office/drawing/2014/main" id="{0D7C223F-2A19-ED15-94BE-F335C2A6C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633989</xdr:colOff>
      <xdr:row>22</xdr:row>
      <xdr:rowOff>161427</xdr:rowOff>
    </xdr:from>
    <xdr:to>
      <xdr:col>11</xdr:col>
      <xdr:colOff>236342</xdr:colOff>
      <xdr:row>36</xdr:row>
      <xdr:rowOff>123598</xdr:rowOff>
    </xdr:to>
    <xdr:graphicFrame macro="">
      <xdr:nvGraphicFramePr>
        <xdr:cNvPr id="19" name="Chart 18">
          <a:extLst>
            <a:ext uri="{FF2B5EF4-FFF2-40B4-BE49-F238E27FC236}">
              <a16:creationId xmlns:a16="http://schemas.microsoft.com/office/drawing/2014/main" id="{10F540DB-2B27-056B-5BEB-B1A533D60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602726</xdr:colOff>
      <xdr:row>80</xdr:row>
      <xdr:rowOff>104593</xdr:rowOff>
    </xdr:from>
    <xdr:to>
      <xdr:col>17</xdr:col>
      <xdr:colOff>1438093</xdr:colOff>
      <xdr:row>94</xdr:row>
      <xdr:rowOff>170088</xdr:rowOff>
    </xdr:to>
    <xdr:graphicFrame macro="">
      <xdr:nvGraphicFramePr>
        <xdr:cNvPr id="20" name="Chart 19">
          <a:extLst>
            <a:ext uri="{FF2B5EF4-FFF2-40B4-BE49-F238E27FC236}">
              <a16:creationId xmlns:a16="http://schemas.microsoft.com/office/drawing/2014/main" id="{FE578A28-687F-4B52-9F3A-5608968B7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556260</xdr:colOff>
      <xdr:row>1</xdr:row>
      <xdr:rowOff>53340</xdr:rowOff>
    </xdr:from>
    <xdr:to>
      <xdr:col>21</xdr:col>
      <xdr:colOff>358140</xdr:colOff>
      <xdr:row>6</xdr:row>
      <xdr:rowOff>30480</xdr:rowOff>
    </xdr:to>
    <xdr:sp macro="" textlink="">
      <xdr:nvSpPr>
        <xdr:cNvPr id="2" name="Rectangle 1">
          <a:extLst>
            <a:ext uri="{FF2B5EF4-FFF2-40B4-BE49-F238E27FC236}">
              <a16:creationId xmlns:a16="http://schemas.microsoft.com/office/drawing/2014/main" id="{A0AD34E2-2FB0-FB5F-980C-B58A4BA831FA}"/>
            </a:ext>
          </a:extLst>
        </xdr:cNvPr>
        <xdr:cNvSpPr/>
      </xdr:nvSpPr>
      <xdr:spPr>
        <a:xfrm>
          <a:off x="3909060" y="251460"/>
          <a:ext cx="12542520" cy="96774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4400" b="1"/>
            <a:t>Billionaire Statistics &amp; Wealth Analysis Dashboard</a:t>
          </a:r>
          <a:endParaRPr lang="en-GB" sz="4400"/>
        </a:p>
        <a:p>
          <a:pPr algn="l"/>
          <a:r>
            <a:rPr lang="en-GB" sz="1100"/>
            <a:t>Figures in USD</a:t>
          </a:r>
        </a:p>
      </xdr:txBody>
    </xdr:sp>
    <xdr:clientData/>
  </xdr:twoCellAnchor>
  <xdr:twoCellAnchor>
    <xdr:from>
      <xdr:col>9</xdr:col>
      <xdr:colOff>175260</xdr:colOff>
      <xdr:row>6</xdr:row>
      <xdr:rowOff>142875</xdr:rowOff>
    </xdr:from>
    <xdr:to>
      <xdr:col>15</xdr:col>
      <xdr:colOff>180975</xdr:colOff>
      <xdr:row>11</xdr:row>
      <xdr:rowOff>161925</xdr:rowOff>
    </xdr:to>
    <xdr:sp macro="" textlink="">
      <xdr:nvSpPr>
        <xdr:cNvPr id="3" name="Rectangle 2">
          <a:extLst>
            <a:ext uri="{FF2B5EF4-FFF2-40B4-BE49-F238E27FC236}">
              <a16:creationId xmlns:a16="http://schemas.microsoft.com/office/drawing/2014/main" id="{D9BFC387-9884-4A8D-B9A9-D5E1738ED75E}"/>
            </a:ext>
          </a:extLst>
        </xdr:cNvPr>
        <xdr:cNvSpPr/>
      </xdr:nvSpPr>
      <xdr:spPr>
        <a:xfrm>
          <a:off x="8195310" y="1409700"/>
          <a:ext cx="4006215" cy="1019175"/>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Total Wealth</a:t>
          </a:r>
          <a:endParaRPr lang="en-GB" sz="1100" b="0" i="0" u="none" strike="noStrike">
            <a:solidFill>
              <a:schemeClr val="lt1"/>
            </a:solidFill>
            <a:effectLst/>
            <a:latin typeface="+mn-lt"/>
            <a:ea typeface="+mn-ea"/>
            <a:cs typeface="+mn-cs"/>
          </a:endParaRPr>
        </a:p>
        <a:p>
          <a:pPr algn="l"/>
          <a:r>
            <a:rPr lang="en-GB" sz="4000" b="1" i="0" u="none" strike="noStrike">
              <a:solidFill>
                <a:schemeClr val="lt1"/>
              </a:solidFill>
              <a:effectLst/>
              <a:latin typeface="+mn-lt"/>
              <a:ea typeface="+mn-ea"/>
              <a:cs typeface="+mn-cs"/>
            </a:rPr>
            <a:t>$7,040.4B</a:t>
          </a:r>
          <a:r>
            <a:rPr lang="en-GB" sz="4000" b="1">
              <a:effectLst/>
            </a:rPr>
            <a:t> </a:t>
          </a:r>
          <a:r>
            <a:rPr lang="en-GB" sz="4000" b="1"/>
            <a:t> </a:t>
          </a:r>
        </a:p>
      </xdr:txBody>
    </xdr:sp>
    <xdr:clientData/>
  </xdr:twoCellAnchor>
  <xdr:twoCellAnchor>
    <xdr:from>
      <xdr:col>2</xdr:col>
      <xdr:colOff>548638</xdr:colOff>
      <xdr:row>6</xdr:row>
      <xdr:rowOff>123825</xdr:rowOff>
    </xdr:from>
    <xdr:to>
      <xdr:col>8</xdr:col>
      <xdr:colOff>581025</xdr:colOff>
      <xdr:row>11</xdr:row>
      <xdr:rowOff>161925</xdr:rowOff>
    </xdr:to>
    <xdr:sp macro="" textlink="">
      <xdr:nvSpPr>
        <xdr:cNvPr id="4" name="Rectangle 3">
          <a:extLst>
            <a:ext uri="{FF2B5EF4-FFF2-40B4-BE49-F238E27FC236}">
              <a16:creationId xmlns:a16="http://schemas.microsoft.com/office/drawing/2014/main" id="{7ABF8391-60A6-4468-9CAD-CF4EC401AC24}"/>
            </a:ext>
          </a:extLst>
        </xdr:cNvPr>
        <xdr:cNvSpPr/>
      </xdr:nvSpPr>
      <xdr:spPr>
        <a:xfrm>
          <a:off x="3901438" y="1390650"/>
          <a:ext cx="4032887" cy="1038225"/>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t>Total Billionaires</a:t>
          </a:r>
        </a:p>
        <a:p>
          <a:pPr algn="l"/>
          <a:r>
            <a:rPr lang="en-GB" sz="4000" b="1" i="0" u="none" strike="noStrike">
              <a:solidFill>
                <a:schemeClr val="lt1"/>
              </a:solidFill>
              <a:effectLst/>
              <a:latin typeface="+mn-lt"/>
              <a:ea typeface="+mn-ea"/>
              <a:cs typeface="+mn-cs"/>
            </a:rPr>
            <a:t>475</a:t>
          </a:r>
          <a:r>
            <a:rPr lang="en-GB" sz="4000" b="1">
              <a:effectLst/>
            </a:rPr>
            <a:t> </a:t>
          </a:r>
          <a:endParaRPr lang="en-GB" sz="4000" b="1"/>
        </a:p>
      </xdr:txBody>
    </xdr:sp>
    <xdr:clientData/>
  </xdr:twoCellAnchor>
  <xdr:twoCellAnchor>
    <xdr:from>
      <xdr:col>15</xdr:col>
      <xdr:colOff>381000</xdr:colOff>
      <xdr:row>6</xdr:row>
      <xdr:rowOff>127000</xdr:rowOff>
    </xdr:from>
    <xdr:to>
      <xdr:col>21</xdr:col>
      <xdr:colOff>361950</xdr:colOff>
      <xdr:row>11</xdr:row>
      <xdr:rowOff>171451</xdr:rowOff>
    </xdr:to>
    <xdr:sp macro="" textlink="">
      <xdr:nvSpPr>
        <xdr:cNvPr id="5" name="Rectangle 4">
          <a:extLst>
            <a:ext uri="{FF2B5EF4-FFF2-40B4-BE49-F238E27FC236}">
              <a16:creationId xmlns:a16="http://schemas.microsoft.com/office/drawing/2014/main" id="{64B4C80E-A600-4EF5-A378-3C7A60728F05}"/>
            </a:ext>
          </a:extLst>
        </xdr:cNvPr>
        <xdr:cNvSpPr/>
      </xdr:nvSpPr>
      <xdr:spPr>
        <a:xfrm>
          <a:off x="12401550" y="1355725"/>
          <a:ext cx="3981450" cy="1044576"/>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Average</a:t>
          </a:r>
          <a:r>
            <a:rPr lang="en-GB" sz="1600" b="1" baseline="0"/>
            <a:t> Wealth</a:t>
          </a:r>
          <a:endParaRPr lang="en-GB" sz="1100" b="0" i="0" u="none" strike="noStrike" baseline="0">
            <a:solidFill>
              <a:schemeClr val="lt1"/>
            </a:solidFill>
            <a:effectLst/>
            <a:latin typeface="+mn-lt"/>
            <a:ea typeface="+mn-ea"/>
            <a:cs typeface="+mn-cs"/>
          </a:endParaRPr>
        </a:p>
        <a:p>
          <a:pPr algn="l"/>
          <a:r>
            <a:rPr lang="en-GB" sz="4000" b="1" i="0" u="none" strike="noStrike">
              <a:solidFill>
                <a:schemeClr val="lt1"/>
              </a:solidFill>
              <a:effectLst/>
              <a:latin typeface="+mn-lt"/>
              <a:ea typeface="+mn-ea"/>
              <a:cs typeface="+mn-cs"/>
            </a:rPr>
            <a:t>$14.8B</a:t>
          </a:r>
          <a:r>
            <a:rPr lang="en-GB" sz="4000" b="1">
              <a:effectLst/>
            </a:rPr>
            <a:t> </a:t>
          </a:r>
          <a:endParaRPr lang="en-GB" sz="4000" b="1"/>
        </a:p>
      </xdr:txBody>
    </xdr:sp>
    <xdr:clientData/>
  </xdr:twoCellAnchor>
  <xdr:twoCellAnchor>
    <xdr:from>
      <xdr:col>2</xdr:col>
      <xdr:colOff>542925</xdr:colOff>
      <xdr:row>12</xdr:row>
      <xdr:rowOff>104775</xdr:rowOff>
    </xdr:from>
    <xdr:to>
      <xdr:col>8</xdr:col>
      <xdr:colOff>581025</xdr:colOff>
      <xdr:row>46</xdr:row>
      <xdr:rowOff>104775</xdr:rowOff>
    </xdr:to>
    <xdr:graphicFrame macro="">
      <xdr:nvGraphicFramePr>
        <xdr:cNvPr id="7" name="Chart 6">
          <a:extLst>
            <a:ext uri="{FF2B5EF4-FFF2-40B4-BE49-F238E27FC236}">
              <a16:creationId xmlns:a16="http://schemas.microsoft.com/office/drawing/2014/main" id="{BE38A5A5-3713-487F-8642-E486673C9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371475</xdr:colOff>
      <xdr:row>28</xdr:row>
      <xdr:rowOff>114301</xdr:rowOff>
    </xdr:from>
    <xdr:to>
      <xdr:col>0</xdr:col>
      <xdr:colOff>2206625</xdr:colOff>
      <xdr:row>36</xdr:row>
      <xdr:rowOff>73531</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54D6E5E1-D76E-4323-8AFF-54A00E779D0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72745" y="5776384"/>
              <a:ext cx="1833880" cy="15678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390525</xdr:colOff>
      <xdr:row>5</xdr:row>
      <xdr:rowOff>171451</xdr:rowOff>
    </xdr:from>
    <xdr:to>
      <xdr:col>0</xdr:col>
      <xdr:colOff>2212975</xdr:colOff>
      <xdr:row>10</xdr:row>
      <xdr:rowOff>149676</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7425F61C-0652-470B-9064-2F0C145DA53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89255" y="1211158"/>
              <a:ext cx="1823720" cy="9811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390525</xdr:colOff>
      <xdr:row>19</xdr:row>
      <xdr:rowOff>28575</xdr:rowOff>
    </xdr:from>
    <xdr:to>
      <xdr:col>0</xdr:col>
      <xdr:colOff>2212975</xdr:colOff>
      <xdr:row>26</xdr:row>
      <xdr:rowOff>155575</xdr:rowOff>
    </xdr:to>
    <mc:AlternateContent xmlns:mc="http://schemas.openxmlformats.org/markup-compatibility/2006">
      <mc:Choice xmlns:a14="http://schemas.microsoft.com/office/drawing/2010/main" Requires="a14">
        <xdr:graphicFrame macro="">
          <xdr:nvGraphicFramePr>
            <xdr:cNvPr id="10" name="country 1">
              <a:extLst>
                <a:ext uri="{FF2B5EF4-FFF2-40B4-BE49-F238E27FC236}">
                  <a16:creationId xmlns:a16="http://schemas.microsoft.com/office/drawing/2014/main" id="{4FC6766B-71CF-4269-9717-A3B3A1AE104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389255" y="3882178"/>
              <a:ext cx="1823720" cy="15333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400050</xdr:colOff>
      <xdr:row>12</xdr:row>
      <xdr:rowOff>114301</xdr:rowOff>
    </xdr:from>
    <xdr:to>
      <xdr:col>0</xdr:col>
      <xdr:colOff>2244090</xdr:colOff>
      <xdr:row>17</xdr:row>
      <xdr:rowOff>79826</xdr:rowOff>
    </xdr:to>
    <mc:AlternateContent xmlns:mc="http://schemas.openxmlformats.org/markup-compatibility/2006">
      <mc:Choice xmlns:a14="http://schemas.microsoft.com/office/drawing/2010/main" Requires="a14">
        <xdr:graphicFrame macro="">
          <xdr:nvGraphicFramePr>
            <xdr:cNvPr id="11" name="selfMade 1">
              <a:extLst>
                <a:ext uri="{FF2B5EF4-FFF2-40B4-BE49-F238E27FC236}">
                  <a16:creationId xmlns:a16="http://schemas.microsoft.com/office/drawing/2014/main" id="{AD92FDDE-E345-4C6B-879C-AE32236124D2}"/>
                </a:ext>
              </a:extLst>
            </xdr:cNvPr>
            <xdr:cNvGraphicFramePr/>
          </xdr:nvGraphicFramePr>
          <xdr:xfrm>
            <a:off x="0" y="0"/>
            <a:ext cx="0" cy="0"/>
          </xdr:xfrm>
          <a:graphic>
            <a:graphicData uri="http://schemas.microsoft.com/office/drawing/2010/slicer">
              <sle:slicer xmlns:sle="http://schemas.microsoft.com/office/drawing/2010/slicer" name="selfMade 1"/>
            </a:graphicData>
          </a:graphic>
        </xdr:graphicFrame>
      </mc:Choice>
      <mc:Fallback>
        <xdr:sp macro="" textlink="">
          <xdr:nvSpPr>
            <xdr:cNvPr id="0" name=""/>
            <xdr:cNvSpPr>
              <a:spLocks noTextEdit="1"/>
            </xdr:cNvSpPr>
          </xdr:nvSpPr>
          <xdr:spPr>
            <a:xfrm>
              <a:off x="402590" y="2559051"/>
              <a:ext cx="1841500" cy="9709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396148</xdr:colOff>
      <xdr:row>29</xdr:row>
      <xdr:rowOff>128165</xdr:rowOff>
    </xdr:from>
    <xdr:to>
      <xdr:col>21</xdr:col>
      <xdr:colOff>404513</xdr:colOff>
      <xdr:row>46</xdr:row>
      <xdr:rowOff>144555</xdr:rowOff>
    </xdr:to>
    <xdr:graphicFrame macro="">
      <xdr:nvGraphicFramePr>
        <xdr:cNvPr id="13" name="Chart 12">
          <a:extLst>
            <a:ext uri="{FF2B5EF4-FFF2-40B4-BE49-F238E27FC236}">
              <a16:creationId xmlns:a16="http://schemas.microsoft.com/office/drawing/2014/main" id="{68DE6438-6794-400C-A368-574D24B78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381714</xdr:colOff>
      <xdr:row>12</xdr:row>
      <xdr:rowOff>110590</xdr:rowOff>
    </xdr:from>
    <xdr:to>
      <xdr:col>21</xdr:col>
      <xdr:colOff>384011</xdr:colOff>
      <xdr:row>28</xdr:row>
      <xdr:rowOff>125146</xdr:rowOff>
    </xdr:to>
    <xdr:graphicFrame macro="">
      <xdr:nvGraphicFramePr>
        <xdr:cNvPr id="14" name="Chart 13">
          <a:extLst>
            <a:ext uri="{FF2B5EF4-FFF2-40B4-BE49-F238E27FC236}">
              <a16:creationId xmlns:a16="http://schemas.microsoft.com/office/drawing/2014/main" id="{ED194211-7F80-4D25-849D-0884B7750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139051</xdr:colOff>
      <xdr:row>29</xdr:row>
      <xdr:rowOff>134417</xdr:rowOff>
    </xdr:from>
    <xdr:to>
      <xdr:col>15</xdr:col>
      <xdr:colOff>201402</xdr:colOff>
      <xdr:row>46</xdr:row>
      <xdr:rowOff>148957</xdr:rowOff>
    </xdr:to>
    <xdr:graphicFrame macro="">
      <xdr:nvGraphicFramePr>
        <xdr:cNvPr id="15" name="Chart 14">
          <a:extLst>
            <a:ext uri="{FF2B5EF4-FFF2-40B4-BE49-F238E27FC236}">
              <a16:creationId xmlns:a16="http://schemas.microsoft.com/office/drawing/2014/main" id="{3655C908-6369-4FAC-A9E9-32CBE7B12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142663</xdr:colOff>
      <xdr:row>12</xdr:row>
      <xdr:rowOff>107103</xdr:rowOff>
    </xdr:from>
    <xdr:to>
      <xdr:col>15</xdr:col>
      <xdr:colOff>181187</xdr:colOff>
      <xdr:row>28</xdr:row>
      <xdr:rowOff>105834</xdr:rowOff>
    </xdr:to>
    <xdr:graphicFrame macro="">
      <xdr:nvGraphicFramePr>
        <xdr:cNvPr id="16" name="Chart 15">
          <a:extLst>
            <a:ext uri="{FF2B5EF4-FFF2-40B4-BE49-F238E27FC236}">
              <a16:creationId xmlns:a16="http://schemas.microsoft.com/office/drawing/2014/main" id="{2A072FE4-52F6-47E1-944E-1AFC5788C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dwill Yeboah" refreshedDate="46296.63534537037" createdVersion="8" refreshedVersion="8" minRefreshableVersion="3" recordCount="475" xr:uid="{6032E924-E17E-4563-9DA6-0CB5E8CBA548}">
  <cacheSource type="worksheet">
    <worksheetSource name="Table2"/>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ount="39">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sharedItems>
    </cacheField>
    <cacheField name="city" numFmtId="0">
      <sharedItems/>
    </cacheField>
    <cacheField name="source" numFmtId="0">
      <sharedItems/>
    </cacheField>
    <cacheField name="industries"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ount="360">
        <s v="Bernard"/>
        <s v="Elon"/>
        <s v="Jeff"/>
        <s v="Larry"/>
        <s v="Warren"/>
        <s v="Bill"/>
        <s v="Michael"/>
        <s v="Carlos"/>
        <s v="Mukesh"/>
        <s v="Steve"/>
        <s v="Francoise"/>
        <s v="Amancio"/>
        <s v="Sergey"/>
        <s v="Shanshan"/>
        <s v="Mark"/>
        <s v="Charles"/>
        <s v="Julia"/>
        <s v="Jim"/>
        <s v="Rob"/>
        <s v="Alice"/>
        <s v="David"/>
        <s v="Gautam"/>
        <s v="Phil"/>
        <s v="Yiming"/>
        <s v="Dieter"/>
        <s v="François"/>
        <s v="Klaus-Michael"/>
        <s v="Giovanni"/>
        <s v="Jacqueline"/>
        <s v="John"/>
        <s v="Huateng"/>
        <s v="Miriam"/>
        <s v="Ken"/>
        <s v="Robin"/>
        <s v="Tadashi"/>
        <s v="Len"/>
        <s v="Alain"/>
        <s v="Gerard"/>
        <s v="Gianluigi"/>
        <s v="Rafaela"/>
        <s v="Colin Zheng"/>
        <s v="Reinhold"/>
        <s v="Stephen"/>
        <s v="Susanne"/>
        <s v="Gina"/>
        <s v="William"/>
        <s v="Germán"/>
        <s v="Shiv"/>
        <s v="Kwong"/>
        <s v="Thomas"/>
        <s v="Andrey"/>
        <s v="Stefan"/>
        <s v="MacKenzie"/>
        <s v="R. Budi"/>
        <s v="Vladimir"/>
        <s v="Jack"/>
        <s v="Xiangjian"/>
        <s v="Iris"/>
        <s v="James"/>
        <s v="Cyrus"/>
        <s v="Masayoshi"/>
        <s v="Emmanuel"/>
        <s v="Abigail"/>
        <s v="Leonid"/>
        <s v="Lukas"/>
        <s v="Wei"/>
        <s v="Jensen"/>
        <s v="Leonard"/>
        <s v="Takemitsu"/>
        <s v="Alexey"/>
        <s v="Vagit"/>
        <s v="Andrew"/>
        <s v="Ray"/>
        <s v="Eric"/>
        <s v="Wenyin"/>
        <s v="Yinglin"/>
        <s v="Chuanfu"/>
        <s v="Harold"/>
        <s v="Gennady"/>
        <s v="Daniel"/>
        <s v="Lakshmi"/>
        <s v="Carl"/>
        <s v="Savitri"/>
        <s v="Donald"/>
        <s v="Rupert"/>
        <s v="Vicky"/>
        <s v="Theo"/>
        <s v="Renata"/>
        <s v="Xiting"/>
        <s v="Kang"/>
        <s v="Jorge Paulo"/>
        <s v="Dilip"/>
        <s v="Robert"/>
        <s v="Radhakishan"/>
        <s v="Shilin"/>
        <s v="Dhanin"/>
        <s v="Charoen"/>
        <s v="Charlene"/>
        <s v="Hang"/>
        <s v="Jianjun"/>
        <s v="Cheng Liang"/>
        <s v="Kumar"/>
        <s v="Aliko"/>
        <s v="Idan"/>
        <s v="Bang"/>
        <s v="Diane"/>
        <s v="Jan"/>
        <s v="Jerry"/>
        <s v="George"/>
        <s v="Xiangyang"/>
        <s v="Harry"/>
        <s v="Uday"/>
        <s v="Stanley"/>
        <s v="Mikhail"/>
        <s v="Sarath"/>
        <s v="Yanbao"/>
        <s v="Rensheng"/>
        <s v="Shahid"/>
        <s v="Laurene"/>
        <s v="Pavel"/>
        <s v="Andreas"/>
        <s v="Hanyuan"/>
        <s v="Israel"/>
        <s v="Viatcheslav"/>
        <s v="Anthony"/>
        <s v="Giorgio"/>
        <s v="Johann"/>
        <s v="Zhidong"/>
        <s v="Philip"/>
        <s v="Judy"/>
        <s v="Ricardo"/>
        <s v="Marcel Herrmann"/>
        <s v="Suleiman"/>
        <s v="Sky"/>
        <s v="Changpeng"/>
        <s v="Mike"/>
        <s v="Jeffery"/>
        <s v="Viktor"/>
        <s v="Eduardo"/>
        <s v="Georg"/>
        <s v="Christy"/>
        <s v="Scott"/>
        <s v="Leng Chan"/>
        <s v="Yajun"/>
        <s v="Autry"/>
        <s v="Yongxing"/>
        <s v="Vinod"/>
        <s v="Nicolas"/>
        <s v="Jacques"/>
        <s v="Rodolphe"/>
        <s v="Tanya"/>
        <s v="Melker"/>
        <s v="Andrei"/>
        <s v="Jun"/>
        <s v="Friedhelm"/>
        <s v="Piaoyang"/>
        <s v="Rick"/>
        <s v="Baofang"/>
        <s v="Liguo"/>
        <s v="Marijke"/>
        <s v="Pamela"/>
        <s v="Valerie"/>
        <s v="Victoria"/>
        <s v="Vincent"/>
        <s v="Ernesto"/>
        <s v="Xing"/>
        <s v="Brian"/>
        <s v="Roman"/>
        <s v="Antonia"/>
        <s v="Azim"/>
        <s v="Ivan"/>
        <s v="Alexander"/>
        <s v="Liping"/>
        <s v="Finn"/>
        <s v="Jorn"/>
        <s v="Kirsten"/>
        <s v="Tatyana"/>
        <s v="Richard"/>
        <s v="Dustin"/>
        <s v="Pierre"/>
        <s v="Zhenhua"/>
        <s v="Carrie"/>
        <s v="Jianhua"/>
        <s v="Leon"/>
        <s v="Graeme"/>
        <s v="Ravi"/>
        <s v="Hasso"/>
        <s v="Carlos Alberto"/>
        <s v="Manuel"/>
        <s v="Chase"/>
        <s v="Ann Walton"/>
        <s v="Zhenguo"/>
        <s v="Nicky"/>
        <s v="Blair"/>
        <s v="Shuliang"/>
        <s v="German"/>
        <s v="Abdulsamad"/>
        <s v="Kushal Pal"/>
        <s v="Jianlin"/>
        <s v="Huiyan"/>
        <s v="Laurent"/>
        <s v="Thierry"/>
        <s v="Tilman"/>
        <s v="Marie-Hélène"/>
        <s v="Karel"/>
        <s v="Nathan"/>
        <s v="Patrick"/>
        <s v="Robert F."/>
        <s v="Orlando"/>
        <s v="Shizhong"/>
        <s v="Nancy Walton"/>
        <s v="Jay Y."/>
        <s v="Ramzi"/>
        <s v="Rocco"/>
        <s v="Shuirong"/>
        <s v="Shi"/>
        <s v="Liangsong"/>
        <s v="Jean-Michel"/>
        <s v="Marie"/>
        <s v="Yonghao"/>
        <s v="Henry"/>
        <s v="Ivar"/>
        <s v="Renxian"/>
        <s v="Hasmukh"/>
        <s v="Joe"/>
        <s v="Huijuan"/>
        <s v="Arthur"/>
        <s v="Shijia"/>
        <s v="Paul Tudor"/>
        <s v="Yong"/>
        <s v="Sri Prakash"/>
        <s v="Jianrong"/>
        <s v="Steven"/>
        <s v="Nassef"/>
        <s v="Benu Gopal"/>
        <s v="Iskander"/>
        <s v="Anders Holch"/>
        <s v="Enrique"/>
        <s v="Laichun"/>
        <s v="Don"/>
        <s v="Guillaume"/>
        <s v="Takahisa"/>
        <s v="Qinghou"/>
        <s v="Tamara"/>
        <s v="Wengen"/>
        <s v="Frederik"/>
        <s v="Cho Yaw"/>
        <s v="Hejun"/>
        <s v="Marc"/>
        <s v="Dmitri"/>
        <s v="Igor"/>
        <s v="Ashwin"/>
        <s v="Ralph"/>
        <s v="Rohiqa Cyrus"/>
        <s v="Shapoor"/>
        <s v="J. Christopher"/>
        <s v="Jude"/>
        <s v="Edythe"/>
        <s v="Pauline MacMillan"/>
        <s v="Philippe"/>
        <s v="Jincheng"/>
        <s v="Sandra"/>
        <s v="Ronda"/>
        <s v="Dannine"/>
        <s v="Silvio"/>
        <s v="Denise"/>
        <s v="Milane"/>
        <s v="Edward"/>
        <s v="Yuri"/>
        <s v="Gordon"/>
        <s v="Laisheng"/>
        <s v="Randa Duncan"/>
        <s v="Christopher"/>
        <s v="Kjeld Kirk"/>
        <s v="Sofie Kirk"/>
        <s v="Thomas Kirk"/>
        <s v="Massimiliana"/>
        <s v="Ping"/>
        <s v="Magdalena"/>
        <s v="Xavier"/>
        <s v="Terrence"/>
        <s v="John A."/>
        <s v="Agnete Kirk"/>
        <s v="Shihui"/>
        <s v="Rahel"/>
        <s v="Bubba"/>
        <s v="Dan"/>
        <s v="Trudy"/>
        <s v="Bruce"/>
        <s v="Nadia"/>
        <s v="Melinda"/>
        <s v="Annette"/>
        <s v="Radovan"/>
        <s v="Alexei"/>
        <s v="Luis Carlos"/>
        <s v="Dennis"/>
        <s v="Jifan"/>
        <s v="Yusuo"/>
        <s v="Stef"/>
        <s v="Maria Asuncion"/>
        <s v="Gustaf"/>
        <s v="Frits"/>
        <s v="Muqin"/>
        <s v="Xueping"/>
        <s v="Michal"/>
        <s v="Tom"/>
        <s v="Wolfgang"/>
        <s v="Neil"/>
        <s v="Jay"/>
        <s v="Gopikishan"/>
        <s v="Sumet"/>
        <s v="Frank"/>
        <s v="Les"/>
        <s v="Kui"/>
        <s v="Jaran"/>
        <s v="Antony"/>
        <s v="Eng-meng"/>
        <s v="Josh"/>
        <s v="Niels Peter"/>
        <s v="Rinat"/>
        <s v="Fredrik"/>
        <s v="Dirk"/>
        <s v="Ray Lee"/>
        <s v="Meisong"/>
        <s v="Vikram"/>
        <s v="Ge"/>
        <s v="Karen"/>
        <s v="Teddy"/>
        <s v="Jung-jin"/>
        <s v="Jianshu"/>
        <s v="Micky"/>
        <s v="Archie Aldis"/>
        <s v="Piero"/>
        <s v="Weiping"/>
        <s v="Ludwig"/>
        <s v="Mitchell"/>
        <s v="Katharine"/>
        <s v="Paul"/>
        <s v="Sergio"/>
        <s v="Margaretta"/>
        <s v="Yan"/>
        <s v="Patrizio"/>
        <s v="Mahendra"/>
        <s v="Mat"/>
        <s v="Leo"/>
        <s v="Hangen"/>
        <s v="Miuccia"/>
        <s v="Matthias"/>
        <s v="Renate"/>
        <s v="Todd"/>
        <s v="Ibrahim"/>
        <s v="Elizabeth"/>
        <s v="Douglas"/>
        <s v="Prajogo"/>
        <s v="Lynda"/>
        <s v="Stewart"/>
        <s v="Gary"/>
        <s v="Ronald"/>
        <s v="Erich"/>
        <s v="M.A."/>
      </sharedItems>
    </cacheField>
    <cacheField name="finalWorth" numFmtId="0">
      <sharedItems containsSemiMixedTypes="0" containsString="0" containsNumber="1" containsInteger="1" minValue="5300" maxValue="211000" count="171">
        <n v="211000"/>
        <n v="180000"/>
        <n v="114000"/>
        <n v="107000"/>
        <n v="106000"/>
        <n v="104000"/>
        <n v="94500"/>
        <n v="93000"/>
        <n v="83400"/>
        <n v="80700"/>
        <n v="80500"/>
        <n v="79200"/>
        <n v="77300"/>
        <n v="76000"/>
        <n v="68000"/>
        <n v="64400"/>
        <n v="59000"/>
        <n v="58800"/>
        <n v="57600"/>
        <n v="56700"/>
        <n v="54400"/>
        <n v="50100"/>
        <n v="47200"/>
        <n v="45100"/>
        <n v="45000"/>
        <n v="42900"/>
        <n v="40100"/>
        <n v="39100"/>
        <n v="38900"/>
        <n v="38300"/>
        <n v="35300"/>
        <n v="35000"/>
        <n v="34700"/>
        <n v="33400"/>
        <n v="32600"/>
        <n v="32100"/>
        <n v="31600"/>
        <n v="31200"/>
        <n v="30200"/>
        <n v="29700"/>
        <n v="28500"/>
        <n v="28100"/>
        <n v="27800"/>
        <n v="27400"/>
        <n v="27000"/>
        <n v="26700"/>
        <n v="26600"/>
        <n v="25600"/>
        <n v="25500"/>
        <n v="25300"/>
        <n v="25200"/>
        <n v="24600"/>
        <n v="24400"/>
        <n v="24200"/>
        <n v="23700"/>
        <n v="23500"/>
        <n v="23400"/>
        <n v="23100"/>
        <n v="22900"/>
        <n v="22600"/>
        <n v="22400"/>
        <n v="22100"/>
        <n v="22000"/>
        <n v="21600"/>
        <n v="21200"/>
        <n v="21100"/>
        <n v="21000"/>
        <n v="20900"/>
        <n v="20500"/>
        <n v="20200"/>
        <n v="19600"/>
        <n v="19100"/>
        <n v="19000"/>
        <n v="18900"/>
        <n v="18700"/>
        <n v="18500"/>
        <n v="18000"/>
        <n v="17700"/>
        <n v="17500"/>
        <n v="17400"/>
        <n v="17100"/>
        <n v="16700"/>
        <n v="16500"/>
        <n v="16300"/>
        <n v="16200"/>
        <n v="16000"/>
        <n v="15900"/>
        <n v="15800"/>
        <n v="15600"/>
        <n v="15500"/>
        <n v="15300"/>
        <n v="15200"/>
        <n v="14900"/>
        <n v="14800"/>
        <n v="14700"/>
        <n v="14600"/>
        <n v="14500"/>
        <n v="14300"/>
        <n v="14200"/>
        <n v="14000"/>
        <n v="13900"/>
        <n v="13700"/>
        <n v="13300"/>
        <n v="13200"/>
        <n v="13100"/>
        <n v="12900"/>
        <n v="12600"/>
        <n v="12300"/>
        <n v="12200"/>
        <n v="12100"/>
        <n v="12000"/>
        <n v="11600"/>
        <n v="11500"/>
        <n v="11400"/>
        <n v="11300"/>
        <n v="11100"/>
        <n v="11000"/>
        <n v="10900"/>
        <n v="10700"/>
        <n v="10600"/>
        <n v="10500"/>
        <n v="10300"/>
        <n v="10200"/>
        <n v="10100"/>
        <n v="10000"/>
        <n v="9900"/>
        <n v="9800"/>
        <n v="9700"/>
        <n v="9600"/>
        <n v="9500"/>
        <n v="9400"/>
        <n v="9300"/>
        <n v="9200"/>
        <n v="9000"/>
        <n v="8900"/>
        <n v="8800"/>
        <n v="8700"/>
        <n v="8600"/>
        <n v="8500"/>
        <n v="8400"/>
        <n v="8300"/>
        <n v="8200"/>
        <n v="8100"/>
        <n v="8000"/>
        <n v="7900"/>
        <n v="7800"/>
        <n v="7700"/>
        <n v="7600"/>
        <n v="7500"/>
        <n v="7400"/>
        <n v="7300"/>
        <n v="7200"/>
        <n v="7100"/>
        <n v="7000"/>
        <n v="6900"/>
        <n v="6800"/>
        <n v="6700"/>
        <n v="6600"/>
        <n v="6500"/>
        <n v="6400"/>
        <n v="6300"/>
        <n v="6200"/>
        <n v="6100"/>
        <n v="6000"/>
        <n v="5900"/>
        <n v="5800"/>
        <n v="5700"/>
        <n v="5600"/>
        <n v="5500"/>
        <n v="5400"/>
        <n v="5300"/>
      </sharedItems>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1">
      <sharedItems containsSemiMixedTypes="0" containsString="0" containsNumber="1" minValue="34.400422403003752" maxValue="100.21149362970993"/>
    </cacheField>
    <cacheField name="Current date" numFmtId="14">
      <sharedItems containsSemiMixedTypes="0" containsNonDate="0" containsDate="1" containsString="0" minDate="2026-10-01T00:00:00" maxDate="2026-10-02T00:00:00"/>
    </cacheField>
    <cacheField name="Brithdate" numFmtId="14">
      <sharedItems containsSemiMixedTypes="0" containsNonDate="0" containsDate="1" containsString="0" minDate="1926-07-16T00:00:00" maxDate="1992-05-08T00:00:00"/>
    </cacheField>
  </cacheFields>
  <extLst>
    <ext xmlns:x14="http://schemas.microsoft.com/office/spreadsheetml/2009/9/main" uri="{725AE2AE-9491-48be-B2B4-4EB974FC3084}">
      <x14:pivotCacheDefinition pivotCacheId="594896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x v="0"/>
    <s v="Paris"/>
    <s v="LVMH"/>
    <x v="0"/>
    <x v="0"/>
    <x v="0"/>
    <s v="Arnault"/>
    <x v="0"/>
    <x v="0"/>
    <n v="1949"/>
    <n v="3"/>
    <n v="5"/>
    <n v="110.05"/>
    <n v="2715518274227"/>
    <n v="82.5"/>
    <n v="24.2"/>
    <n v="60.7"/>
    <n v="67059887"/>
    <n v="77.575625680087057"/>
    <d v="2026-10-01T00:00:00"/>
    <d v="1949-03-05T00:00:00"/>
  </r>
  <r>
    <n v="2"/>
    <x v="1"/>
    <x v="1"/>
    <x v="1"/>
    <s v="Austin"/>
    <s v="Tesla, SpaceX"/>
    <x v="1"/>
    <x v="1"/>
    <x v="0"/>
    <s v="Musk"/>
    <x v="1"/>
    <x v="1"/>
    <n v="1971"/>
    <n v="6"/>
    <n v="28"/>
    <n v="117.24"/>
    <n v="21427700000000"/>
    <n v="78.5"/>
    <n v="9.6"/>
    <n v="36.6"/>
    <n v="328239523"/>
    <n v="55.260780287474333"/>
    <d v="2026-10-01T00:00:00"/>
    <d v="1971-06-28T00:00:00"/>
  </r>
  <r>
    <n v="3"/>
    <x v="2"/>
    <x v="2"/>
    <x v="1"/>
    <s v="Medina"/>
    <s v="Amazon"/>
    <x v="2"/>
    <x v="1"/>
    <x v="0"/>
    <s v="Bezos"/>
    <x v="2"/>
    <x v="2"/>
    <n v="1964"/>
    <n v="1"/>
    <n v="12"/>
    <n v="117.24"/>
    <n v="21427700000000"/>
    <n v="78.5"/>
    <n v="9.6"/>
    <n v="36.6"/>
    <n v="328239523"/>
    <n v="62.718004432662639"/>
    <d v="2026-10-01T00:00:00"/>
    <d v="1964-01-12T00:00:00"/>
  </r>
  <r>
    <n v="4"/>
    <x v="2"/>
    <x v="3"/>
    <x v="1"/>
    <s v="Lanai"/>
    <s v="Oracle"/>
    <x v="2"/>
    <x v="1"/>
    <x v="0"/>
    <s v="Ellison"/>
    <x v="3"/>
    <x v="3"/>
    <n v="1944"/>
    <n v="8"/>
    <n v="17"/>
    <n v="117.24"/>
    <n v="21427700000000"/>
    <n v="78.5"/>
    <n v="9.6"/>
    <n v="36.6"/>
    <n v="328239523"/>
    <n v="82.121157144742057"/>
    <d v="2026-10-01T00:00:00"/>
    <d v="1944-08-17T00:00:00"/>
  </r>
  <r>
    <n v="5"/>
    <x v="3"/>
    <x v="4"/>
    <x v="1"/>
    <s v="Omaha"/>
    <s v="Berkshire Hathaway"/>
    <x v="3"/>
    <x v="1"/>
    <x v="0"/>
    <s v="Buffett"/>
    <x v="4"/>
    <x v="4"/>
    <n v="1930"/>
    <n v="8"/>
    <n v="30"/>
    <n v="117.24"/>
    <n v="21427700000000"/>
    <n v="78.5"/>
    <n v="9.6"/>
    <n v="36.6"/>
    <n v="328239523"/>
    <n v="96.088289254565467"/>
    <d v="2026-10-01T00:00:00"/>
    <d v="1930-08-30T00:00:00"/>
  </r>
  <r>
    <n v="6"/>
    <x v="2"/>
    <x v="5"/>
    <x v="1"/>
    <s v="Medina"/>
    <s v="Microsoft"/>
    <x v="2"/>
    <x v="1"/>
    <x v="0"/>
    <s v="Gates"/>
    <x v="5"/>
    <x v="5"/>
    <n v="1955"/>
    <n v="10"/>
    <n v="28"/>
    <n v="117.24"/>
    <n v="21427700000000"/>
    <n v="78.5"/>
    <n v="9.6"/>
    <n v="36.6"/>
    <n v="328239523"/>
    <n v="70.926762491444222"/>
    <d v="2026-10-01T00:00:00"/>
    <d v="1955-10-28T00:00:00"/>
  </r>
  <r>
    <n v="7"/>
    <x v="4"/>
    <x v="6"/>
    <x v="1"/>
    <s v="New York"/>
    <s v="Bloomberg LP"/>
    <x v="4"/>
    <x v="1"/>
    <x v="0"/>
    <s v="Bloomberg"/>
    <x v="6"/>
    <x v="6"/>
    <n v="1942"/>
    <n v="2"/>
    <n v="14"/>
    <n v="117.24"/>
    <n v="21427700000000"/>
    <n v="78.5"/>
    <n v="9.6"/>
    <n v="36.6"/>
    <n v="328239523"/>
    <n v="84.627649294595116"/>
    <d v="2026-10-01T00:00:00"/>
    <d v="1942-02-14T00:00:00"/>
  </r>
  <r>
    <n v="8"/>
    <x v="5"/>
    <x v="7"/>
    <x v="2"/>
    <s v="Mexico City"/>
    <s v="Telecom"/>
    <x v="5"/>
    <x v="1"/>
    <x v="0"/>
    <s v="Slim Helu"/>
    <x v="7"/>
    <x v="7"/>
    <n v="1940"/>
    <n v="1"/>
    <n v="28"/>
    <n v="141.54"/>
    <n v="1258286717125"/>
    <n v="75"/>
    <n v="13.1"/>
    <n v="55.1"/>
    <n v="126014024"/>
    <n v="86.6741983195393"/>
    <d v="2026-10-01T00:00:00"/>
    <d v="1940-01-28T00:00:00"/>
  </r>
  <r>
    <n v="9"/>
    <x v="6"/>
    <x v="8"/>
    <x v="3"/>
    <s v="Mumbai"/>
    <s v="Diversified"/>
    <x v="6"/>
    <x v="0"/>
    <x v="0"/>
    <s v="Ambani"/>
    <x v="8"/>
    <x v="8"/>
    <n v="1957"/>
    <n v="4"/>
    <n v="19"/>
    <n v="180.44"/>
    <n v="2611000000000"/>
    <n v="69.400000000000006"/>
    <n v="11.2"/>
    <n v="49.7"/>
    <n v="1366417754"/>
    <n v="69.452419134039971"/>
    <d v="2026-10-01T00:00:00"/>
    <d v="1957-04-19T00:00:00"/>
  </r>
  <r>
    <n v="10"/>
    <x v="2"/>
    <x v="9"/>
    <x v="1"/>
    <s v="Hunts Point"/>
    <s v="Microsoft"/>
    <x v="2"/>
    <x v="1"/>
    <x v="0"/>
    <s v="Ballmer"/>
    <x v="9"/>
    <x v="9"/>
    <n v="1956"/>
    <n v="3"/>
    <n v="24"/>
    <n v="117.24"/>
    <n v="21427700000000"/>
    <n v="78.5"/>
    <n v="9.6"/>
    <n v="36.6"/>
    <n v="328239523"/>
    <n v="70.520880731114801"/>
    <d v="2026-10-01T00:00:00"/>
    <d v="1956-03-24T00:00:00"/>
  </r>
  <r>
    <n v="11"/>
    <x v="0"/>
    <x v="10"/>
    <x v="0"/>
    <s v="Paris"/>
    <s v="L'Oréal"/>
    <x v="0"/>
    <x v="0"/>
    <x v="1"/>
    <s v="Bettencourt Meyers"/>
    <x v="10"/>
    <x v="10"/>
    <n v="1953"/>
    <n v="7"/>
    <n v="10"/>
    <n v="110.05"/>
    <n v="2715518274227"/>
    <n v="82.5"/>
    <n v="24.2"/>
    <n v="60.7"/>
    <n v="67059887"/>
    <n v="73.227911795175373"/>
    <d v="2026-10-01T00:00:00"/>
    <d v="1953-07-10T00:00:00"/>
  </r>
  <r>
    <n v="12"/>
    <x v="2"/>
    <x v="11"/>
    <x v="1"/>
    <s v="Palo Alto"/>
    <s v="Google"/>
    <x v="2"/>
    <x v="1"/>
    <x v="0"/>
    <s v="Page"/>
    <x v="3"/>
    <x v="11"/>
    <n v="1973"/>
    <n v="3"/>
    <n v="26"/>
    <n v="117.24"/>
    <n v="21427700000000"/>
    <n v="78.5"/>
    <n v="9.6"/>
    <n v="36.6"/>
    <n v="328239523"/>
    <n v="53.518126045733403"/>
    <d v="2026-10-01T00:00:00"/>
    <d v="1973-03-26T00:00:00"/>
  </r>
  <r>
    <n v="13"/>
    <x v="0"/>
    <x v="12"/>
    <x v="4"/>
    <s v="La Coruna"/>
    <s v="Zara"/>
    <x v="0"/>
    <x v="1"/>
    <x v="0"/>
    <s v="Ortega"/>
    <x v="11"/>
    <x v="12"/>
    <n v="1936"/>
    <n v="3"/>
    <n v="28"/>
    <n v="110.96"/>
    <n v="1394116310769"/>
    <n v="83.3"/>
    <n v="14.2"/>
    <n v="47"/>
    <n v="47076781"/>
    <n v="90.509928395210295"/>
    <d v="2026-10-01T00:00:00"/>
    <d v="1936-03-28T00:00:00"/>
  </r>
  <r>
    <n v="14"/>
    <x v="2"/>
    <x v="13"/>
    <x v="1"/>
    <s v="Los Altos"/>
    <s v="Google"/>
    <x v="2"/>
    <x v="1"/>
    <x v="0"/>
    <s v="Brin"/>
    <x v="12"/>
    <x v="13"/>
    <n v="1973"/>
    <n v="8"/>
    <n v="21"/>
    <n v="117.24"/>
    <n v="21427700000000"/>
    <n v="78.5"/>
    <n v="9.6"/>
    <n v="36.6"/>
    <n v="328239523"/>
    <n v="53.112913856918318"/>
    <d v="2026-10-01T00:00:00"/>
    <d v="1973-08-21T00:00:00"/>
  </r>
  <r>
    <n v="15"/>
    <x v="7"/>
    <x v="14"/>
    <x v="5"/>
    <s v="Hangzhou"/>
    <s v="Beverages, pharmaceuticals"/>
    <x v="7"/>
    <x v="1"/>
    <x v="0"/>
    <s v="Zhong"/>
    <x v="13"/>
    <x v="14"/>
    <n v="1954"/>
    <n v="12"/>
    <n v="1"/>
    <n v="125.08"/>
    <n v="19910000000000"/>
    <n v="77"/>
    <n v="9.4"/>
    <n v="59.2"/>
    <n v="1397715000"/>
    <n v="71.833664628886467"/>
    <d v="2026-10-01T00:00:00"/>
    <d v="1954-12-01T00:00:00"/>
  </r>
  <r>
    <n v="16"/>
    <x v="2"/>
    <x v="15"/>
    <x v="1"/>
    <s v="Palo Alto"/>
    <s v="Facebook"/>
    <x v="2"/>
    <x v="1"/>
    <x v="0"/>
    <s v="Zuckerberg"/>
    <x v="14"/>
    <x v="15"/>
    <n v="1984"/>
    <n v="5"/>
    <n v="14"/>
    <n v="117.24"/>
    <n v="21427700000000"/>
    <n v="78.5"/>
    <n v="9.6"/>
    <n v="36.6"/>
    <n v="328239523"/>
    <n v="42.381255571119318"/>
    <d v="2026-10-01T00:00:00"/>
    <d v="1984-05-14T00:00:00"/>
  </r>
  <r>
    <n v="17"/>
    <x v="6"/>
    <x v="16"/>
    <x v="1"/>
    <s v="Wichita"/>
    <s v="Koch Industries"/>
    <x v="6"/>
    <x v="0"/>
    <x v="0"/>
    <s v="Koch"/>
    <x v="15"/>
    <x v="16"/>
    <n v="1935"/>
    <n v="11"/>
    <n v="1"/>
    <n v="117.24"/>
    <n v="21427700000000"/>
    <n v="78.5"/>
    <n v="9.6"/>
    <n v="36.6"/>
    <n v="328239523"/>
    <n v="90.915811088295683"/>
    <d v="2026-10-01T00:00:00"/>
    <d v="1935-11-01T00:00:00"/>
  </r>
  <r>
    <n v="17"/>
    <x v="6"/>
    <x v="17"/>
    <x v="1"/>
    <s v="New York"/>
    <s v="Koch Industries"/>
    <x v="6"/>
    <x v="0"/>
    <x v="1"/>
    <s v="Koch"/>
    <x v="16"/>
    <x v="16"/>
    <n v="1962"/>
    <n v="4"/>
    <n v="12"/>
    <n v="117.24"/>
    <n v="21427700000000"/>
    <n v="78.5"/>
    <n v="9.6"/>
    <n v="36.6"/>
    <n v="328239523"/>
    <n v="64.471589233814925"/>
    <d v="2026-10-01T00:00:00"/>
    <d v="1962-04-12T00:00:00"/>
  </r>
  <r>
    <n v="19"/>
    <x v="0"/>
    <x v="18"/>
    <x v="1"/>
    <s v="Bentonville"/>
    <s v="Walmart"/>
    <x v="0"/>
    <x v="0"/>
    <x v="0"/>
    <s v="Walton"/>
    <x v="17"/>
    <x v="17"/>
    <n v="1948"/>
    <n v="6"/>
    <n v="7"/>
    <n v="117.24"/>
    <n v="21427700000000"/>
    <n v="78.5"/>
    <n v="9.6"/>
    <n v="36.6"/>
    <n v="328239523"/>
    <n v="78.31554323340842"/>
    <d v="2026-10-01T00:00:00"/>
    <d v="1948-06-07T00:00:00"/>
  </r>
  <r>
    <n v="20"/>
    <x v="0"/>
    <x v="19"/>
    <x v="1"/>
    <s v="Bentonville"/>
    <s v="Walmart"/>
    <x v="0"/>
    <x v="0"/>
    <x v="0"/>
    <s v="Walton"/>
    <x v="18"/>
    <x v="18"/>
    <n v="1944"/>
    <n v="10"/>
    <n v="27"/>
    <n v="117.24"/>
    <n v="21427700000000"/>
    <n v="78.5"/>
    <n v="9.6"/>
    <n v="36.6"/>
    <n v="328239523"/>
    <n v="81.926771341865688"/>
    <d v="2026-10-01T00:00:00"/>
    <d v="1944-10-27T00:00:00"/>
  </r>
  <r>
    <n v="21"/>
    <x v="0"/>
    <x v="20"/>
    <x v="1"/>
    <s v="Fort Worth"/>
    <s v="Walmart"/>
    <x v="0"/>
    <x v="0"/>
    <x v="1"/>
    <s v="Walton"/>
    <x v="19"/>
    <x v="19"/>
    <n v="1949"/>
    <n v="10"/>
    <n v="7"/>
    <n v="117.24"/>
    <n v="21427700000000"/>
    <n v="78.5"/>
    <n v="9.6"/>
    <n v="36.6"/>
    <n v="328239523"/>
    <n v="76.984239531047081"/>
    <d v="2026-10-01T00:00:00"/>
    <d v="1949-10-07T00:00:00"/>
  </r>
  <r>
    <n v="22"/>
    <x v="4"/>
    <x v="21"/>
    <x v="6"/>
    <s v="Toronto"/>
    <s v="Media"/>
    <x v="4"/>
    <x v="0"/>
    <x v="0"/>
    <s v="Thomson"/>
    <x v="20"/>
    <x v="20"/>
    <n v="1957"/>
    <n v="6"/>
    <n v="12"/>
    <n v="116.76"/>
    <n v="1736425629520"/>
    <n v="81.900000000000006"/>
    <n v="12.8"/>
    <n v="24.5"/>
    <n v="36991981"/>
    <n v="69.304572300230774"/>
    <d v="2026-10-01T00:00:00"/>
    <d v="1957-06-12T00:00:00"/>
  </r>
  <r>
    <n v="23"/>
    <x v="2"/>
    <x v="22"/>
    <x v="1"/>
    <s v="Austin"/>
    <s v="Dell Technologies"/>
    <x v="2"/>
    <x v="1"/>
    <x v="0"/>
    <s v="Dell"/>
    <x v="6"/>
    <x v="21"/>
    <n v="1965"/>
    <n v="2"/>
    <n v="23"/>
    <n v="117.24"/>
    <n v="21427700000000"/>
    <n v="78.5"/>
    <n v="9.6"/>
    <n v="36.6"/>
    <n v="328239523"/>
    <n v="61.60300287039081"/>
    <d v="2026-10-01T00:00:00"/>
    <d v="1965-02-23T00:00:00"/>
  </r>
  <r>
    <n v="24"/>
    <x v="6"/>
    <x v="23"/>
    <x v="3"/>
    <s v="Ahmedabad"/>
    <s v="Infrastructure, commodities"/>
    <x v="6"/>
    <x v="1"/>
    <x v="0"/>
    <s v="Adani"/>
    <x v="21"/>
    <x v="22"/>
    <n v="1962"/>
    <n v="6"/>
    <n v="24"/>
    <n v="180.44"/>
    <n v="2611000000000"/>
    <n v="69.400000000000006"/>
    <n v="11.2"/>
    <n v="49.7"/>
    <n v="1366417754"/>
    <n v="64.271724021734556"/>
    <d v="2026-10-01T00:00:00"/>
    <d v="1962-06-24T00:00:00"/>
  </r>
  <r>
    <n v="25"/>
    <x v="0"/>
    <x v="24"/>
    <x v="1"/>
    <s v="Hillsboro"/>
    <s v="Nike"/>
    <x v="0"/>
    <x v="1"/>
    <x v="0"/>
    <s v="Knight"/>
    <x v="22"/>
    <x v="23"/>
    <n v="1938"/>
    <n v="2"/>
    <n v="24"/>
    <n v="117.24"/>
    <n v="21427700000000"/>
    <n v="78.5"/>
    <n v="9.6"/>
    <n v="36.6"/>
    <n v="328239523"/>
    <n v="88.600270710923809"/>
    <d v="2026-10-01T00:00:00"/>
    <d v="1938-02-24T00:00:00"/>
  </r>
  <r>
    <n v="26"/>
    <x v="2"/>
    <x v="25"/>
    <x v="5"/>
    <s v="Beijing"/>
    <s v="TikTok"/>
    <x v="2"/>
    <x v="1"/>
    <x v="0"/>
    <s v="Zhang"/>
    <x v="23"/>
    <x v="24"/>
    <n v="1984"/>
    <n v="1"/>
    <n v="1"/>
    <n v="125.08"/>
    <n v="19910000000000"/>
    <n v="77"/>
    <n v="9.4"/>
    <n v="59.2"/>
    <n v="1397715000"/>
    <n v="42.748121736915827"/>
    <d v="2026-10-01T00:00:00"/>
    <d v="1984-01-01T00:00:00"/>
  </r>
  <r>
    <n v="27"/>
    <x v="0"/>
    <x v="26"/>
    <x v="7"/>
    <s v="Neckarsulm"/>
    <s v="Retail"/>
    <x v="0"/>
    <x v="0"/>
    <x v="0"/>
    <s v="Schwarz"/>
    <x v="24"/>
    <x v="25"/>
    <n v="1939"/>
    <n v="9"/>
    <n v="24"/>
    <n v="112.85"/>
    <n v="3845630030824"/>
    <n v="80.900000000000006"/>
    <n v="11.5"/>
    <n v="48.8"/>
    <n v="83132799"/>
    <n v="87.019849418206704"/>
    <d v="2026-10-01T00:00:00"/>
    <d v="1939-09-24T00:00:00"/>
  </r>
  <r>
    <n v="28"/>
    <x v="0"/>
    <x v="27"/>
    <x v="0"/>
    <s v="Paris"/>
    <s v="Luxury goods"/>
    <x v="0"/>
    <x v="1"/>
    <x v="0"/>
    <s v="Pinault"/>
    <x v="25"/>
    <x v="26"/>
    <n v="1936"/>
    <n v="8"/>
    <n v="21"/>
    <n v="110.05"/>
    <n v="2715518274227"/>
    <n v="82.5"/>
    <n v="24.2"/>
    <n v="60.7"/>
    <n v="67059887"/>
    <n v="90.110205186834335"/>
    <d v="2026-10-01T00:00:00"/>
    <d v="1936-08-21T00:00:00"/>
  </r>
  <r>
    <n v="29"/>
    <x v="8"/>
    <x v="28"/>
    <x v="8"/>
    <s v="Schindellegi"/>
    <s v="Shipping"/>
    <x v="8"/>
    <x v="0"/>
    <x v="0"/>
    <s v="Kuehne"/>
    <x v="26"/>
    <x v="27"/>
    <n v="1937"/>
    <n v="6"/>
    <n v="2"/>
    <n v="99.55"/>
    <n v="703082435360"/>
    <n v="83.6"/>
    <n v="10.1"/>
    <n v="28.8"/>
    <n v="8574832"/>
    <n v="89.331954246775368"/>
    <d v="2026-10-01T00:00:00"/>
    <d v="1937-06-02T00:00:00"/>
  </r>
  <r>
    <n v="30"/>
    <x v="7"/>
    <x v="29"/>
    <x v="9"/>
    <s v="Brussels"/>
    <s v="Nutella, chocolates"/>
    <x v="7"/>
    <x v="0"/>
    <x v="0"/>
    <s v="Ferrero"/>
    <x v="27"/>
    <x v="28"/>
    <n v="1964"/>
    <n v="9"/>
    <n v="21"/>
    <n v="117.11"/>
    <n v="529606710418"/>
    <n v="81.599999999999994"/>
    <n v="24"/>
    <n v="55.4"/>
    <n v="11484055"/>
    <n v="62.025335709008736"/>
    <d v="2026-10-01T00:00:00"/>
    <d v="1964-09-21T00:00:00"/>
  </r>
  <r>
    <n v="31"/>
    <x v="7"/>
    <x v="30"/>
    <x v="1"/>
    <s v="The Plains"/>
    <s v="Candy, pet food"/>
    <x v="7"/>
    <x v="0"/>
    <x v="1"/>
    <s v="Mars"/>
    <x v="28"/>
    <x v="29"/>
    <n v="1939"/>
    <n v="10"/>
    <n v="10"/>
    <n v="117.24"/>
    <n v="21427700000000"/>
    <n v="78.5"/>
    <n v="9.6"/>
    <n v="36.6"/>
    <n v="328239523"/>
    <n v="86.976043805612591"/>
    <d v="2026-10-01T00:00:00"/>
    <d v="1939-10-10T00:00:00"/>
  </r>
  <r>
    <n v="31"/>
    <x v="7"/>
    <x v="31"/>
    <x v="1"/>
    <s v="Jackson"/>
    <s v="Candy, pet food"/>
    <x v="7"/>
    <x v="0"/>
    <x v="0"/>
    <s v="Mars"/>
    <x v="29"/>
    <x v="29"/>
    <n v="1935"/>
    <n v="10"/>
    <n v="15"/>
    <n v="117.24"/>
    <n v="21427700000000"/>
    <n v="78.5"/>
    <n v="9.6"/>
    <n v="36.6"/>
    <n v="328239523"/>
    <n v="90.962354551676938"/>
    <d v="2026-10-01T00:00:00"/>
    <d v="1935-10-15T00:00:00"/>
  </r>
  <r>
    <n v="34"/>
    <x v="2"/>
    <x v="32"/>
    <x v="5"/>
    <s v="Shenzhen"/>
    <s v="Internet media"/>
    <x v="2"/>
    <x v="1"/>
    <x v="0"/>
    <s v="Ma"/>
    <x v="30"/>
    <x v="30"/>
    <n v="1971"/>
    <n v="10"/>
    <n v="29"/>
    <n v="125.08"/>
    <n v="19910000000000"/>
    <n v="77"/>
    <n v="9.4"/>
    <n v="59.2"/>
    <n v="1397715000"/>
    <n v="54.924024640657088"/>
    <d v="2026-10-01T00:00:00"/>
    <d v="1971-10-29T00:00:00"/>
  </r>
  <r>
    <n v="35"/>
    <x v="9"/>
    <x v="33"/>
    <x v="1"/>
    <s v="Las Vegas"/>
    <s v="Casinos"/>
    <x v="9"/>
    <x v="0"/>
    <x v="1"/>
    <s v="Adelson"/>
    <x v="31"/>
    <x v="31"/>
    <n v="1945"/>
    <n v="10"/>
    <n v="10"/>
    <n v="117.24"/>
    <n v="21427700000000"/>
    <n v="78.5"/>
    <n v="9.6"/>
    <n v="36.6"/>
    <n v="328239523"/>
    <n v="80.976026711185312"/>
    <d v="2026-10-01T00:00:00"/>
    <d v="1945-10-10T00:00:00"/>
  </r>
  <r>
    <n v="35"/>
    <x v="3"/>
    <x v="34"/>
    <x v="1"/>
    <s v="Miami"/>
    <s v="Hedge funds"/>
    <x v="3"/>
    <x v="1"/>
    <x v="0"/>
    <s v="Griffin"/>
    <x v="32"/>
    <x v="31"/>
    <n v="1968"/>
    <n v="10"/>
    <n v="15"/>
    <n v="117.24"/>
    <n v="21427700000000"/>
    <n v="78.5"/>
    <n v="9.6"/>
    <n v="36.6"/>
    <n v="328239523"/>
    <n v="57.959628770301627"/>
    <d v="2026-10-01T00:00:00"/>
    <d v="1968-10-15T00:00:00"/>
  </r>
  <r>
    <n v="37"/>
    <x v="7"/>
    <x v="35"/>
    <x v="10"/>
    <s v="Salzburg"/>
    <s v="Red Bull"/>
    <x v="7"/>
    <x v="0"/>
    <x v="0"/>
    <s v="Mateschitz"/>
    <x v="14"/>
    <x v="32"/>
    <n v="1992"/>
    <n v="5"/>
    <n v="7"/>
    <n v="118.06"/>
    <n v="446314739528"/>
    <n v="81.599999999999994"/>
    <n v="25.4"/>
    <n v="51.4"/>
    <n v="8877067"/>
    <n v="34.400422403003752"/>
    <d v="2026-10-01T00:00:00"/>
    <d v="1992-05-07T00:00:00"/>
  </r>
  <r>
    <n v="38"/>
    <x v="1"/>
    <x v="36"/>
    <x v="5"/>
    <s v="Ningde"/>
    <s v="Batteries"/>
    <x v="1"/>
    <x v="1"/>
    <x v="0"/>
    <s v="Zeng"/>
    <x v="33"/>
    <x v="33"/>
    <n v="1969"/>
    <n v="1"/>
    <n v="1"/>
    <n v="125.08"/>
    <n v="19910000000000"/>
    <n v="77"/>
    <n v="9.4"/>
    <n v="59.2"/>
    <n v="1397715000"/>
    <n v="57.748111782477345"/>
    <d v="2026-10-01T00:00:00"/>
    <d v="1969-01-01T00:00:00"/>
  </r>
  <r>
    <n v="39"/>
    <x v="0"/>
    <x v="37"/>
    <x v="11"/>
    <s v="Tokyo"/>
    <s v="Fashion retail"/>
    <x v="0"/>
    <x v="1"/>
    <x v="0"/>
    <s v="Yanai"/>
    <x v="34"/>
    <x v="34"/>
    <n v="1949"/>
    <n v="2"/>
    <n v="7"/>
    <n v="105.48"/>
    <n v="5081769542380"/>
    <n v="84.2"/>
    <n v="11.9"/>
    <n v="46.7"/>
    <n v="126226568"/>
    <n v="77.646811049878906"/>
    <d v="2026-10-01T00:00:00"/>
    <d v="1949-02-07T00:00:00"/>
  </r>
  <r>
    <n v="40"/>
    <x v="6"/>
    <x v="38"/>
    <x v="12"/>
    <s v="London"/>
    <s v="Music, chemicals"/>
    <x v="6"/>
    <x v="1"/>
    <x v="0"/>
    <s v="Blavatnik"/>
    <x v="35"/>
    <x v="35"/>
    <n v="1957"/>
    <n v="6"/>
    <n v="1"/>
    <n v="119.62"/>
    <n v="2827113184696"/>
    <n v="81.3"/>
    <n v="25.5"/>
    <n v="30.6"/>
    <n v="66834405"/>
    <n v="69.334689247858563"/>
    <d v="2026-10-01T00:00:00"/>
    <d v="1957-06-01T00:00:00"/>
  </r>
  <r>
    <n v="41"/>
    <x v="0"/>
    <x v="39"/>
    <x v="1"/>
    <s v="New York"/>
    <s v="Chanel"/>
    <x v="0"/>
    <x v="0"/>
    <x v="0"/>
    <s v="Wertheimer"/>
    <x v="36"/>
    <x v="36"/>
    <n v="1948"/>
    <n v="8"/>
    <n v="28"/>
    <n v="117.24"/>
    <n v="21427700000000"/>
    <n v="78.5"/>
    <n v="9.6"/>
    <n v="36.6"/>
    <n v="328239523"/>
    <n v="78.09104141396638"/>
    <d v="2026-10-01T00:00:00"/>
    <d v="1948-08-28T00:00:00"/>
  </r>
  <r>
    <n v="41"/>
    <x v="0"/>
    <x v="40"/>
    <x v="1"/>
    <s v="New York"/>
    <s v="Chanel"/>
    <x v="0"/>
    <x v="0"/>
    <x v="0"/>
    <s v="Wertheimer"/>
    <x v="37"/>
    <x v="36"/>
    <n v="1951"/>
    <n v="1"/>
    <n v="9"/>
    <n v="117.24"/>
    <n v="21427700000000"/>
    <n v="78.5"/>
    <n v="9.6"/>
    <n v="36.6"/>
    <n v="328239523"/>
    <n v="75.726214921286797"/>
    <d v="2026-10-01T00:00:00"/>
    <d v="1951-01-09T00:00:00"/>
  </r>
  <r>
    <n v="43"/>
    <x v="8"/>
    <x v="41"/>
    <x v="8"/>
    <s v="Geneva"/>
    <s v="Shipping"/>
    <x v="8"/>
    <x v="1"/>
    <x v="0"/>
    <s v="Aponte"/>
    <x v="38"/>
    <x v="37"/>
    <n v="1940"/>
    <n v="6"/>
    <n v="27"/>
    <n v="99.55"/>
    <n v="703082435360"/>
    <n v="83.6"/>
    <n v="10.1"/>
    <n v="28.8"/>
    <n v="8574832"/>
    <n v="86.260786103156377"/>
    <d v="2026-10-01T00:00:00"/>
    <d v="1940-06-27T00:00:00"/>
  </r>
  <r>
    <n v="43"/>
    <x v="8"/>
    <x v="42"/>
    <x v="8"/>
    <s v="Geneva"/>
    <s v="Shipping"/>
    <x v="8"/>
    <x v="1"/>
    <x v="1"/>
    <s v="Aponte-Diamant"/>
    <x v="39"/>
    <x v="37"/>
    <n v="1945"/>
    <n v="3"/>
    <n v="26"/>
    <n v="99.55"/>
    <n v="703082435360"/>
    <n v="83.6"/>
    <n v="10.1"/>
    <n v="28.8"/>
    <n v="8574832"/>
    <n v="81.518130217028386"/>
    <d v="2026-10-01T00:00:00"/>
    <d v="1945-03-26T00:00:00"/>
  </r>
  <r>
    <n v="45"/>
    <x v="2"/>
    <x v="43"/>
    <x v="5"/>
    <s v="Shanghai"/>
    <s v="E-commerce"/>
    <x v="2"/>
    <x v="1"/>
    <x v="0"/>
    <s v="Huang"/>
    <x v="40"/>
    <x v="38"/>
    <n v="1980"/>
    <n v="2"/>
    <n v="2"/>
    <n v="125.08"/>
    <n v="19910000000000"/>
    <n v="77"/>
    <n v="9.4"/>
    <n v="59.2"/>
    <n v="1397715000"/>
    <n v="46.66051144637968"/>
    <d v="2026-10-01T00:00:00"/>
    <d v="1980-02-02T00:00:00"/>
  </r>
  <r>
    <n v="46"/>
    <x v="10"/>
    <x v="44"/>
    <x v="7"/>
    <s v="Kuenzelsau"/>
    <s v="Fasteners"/>
    <x v="10"/>
    <x v="1"/>
    <x v="0"/>
    <s v="Wuerth"/>
    <x v="41"/>
    <x v="39"/>
    <n v="1935"/>
    <n v="4"/>
    <n v="20"/>
    <n v="112.85"/>
    <n v="3845630030824"/>
    <n v="80.900000000000006"/>
    <n v="11.5"/>
    <n v="48.8"/>
    <n v="83132799"/>
    <n v="91.449691991786452"/>
    <d v="2026-10-01T00:00:00"/>
    <d v="1935-04-20T00:00:00"/>
  </r>
  <r>
    <n v="48"/>
    <x v="3"/>
    <x v="45"/>
    <x v="1"/>
    <s v="Haverford"/>
    <s v="Trading, investments"/>
    <x v="3"/>
    <x v="1"/>
    <x v="0"/>
    <s v="Yass"/>
    <x v="2"/>
    <x v="40"/>
    <n v="1958"/>
    <n v="7"/>
    <n v="17"/>
    <n v="117.24"/>
    <n v="21427700000000"/>
    <n v="78.5"/>
    <n v="9.6"/>
    <n v="36.6"/>
    <n v="328239523"/>
    <n v="68.208753273549718"/>
    <d v="2026-10-01T00:00:00"/>
    <d v="1958-07-17T00:00:00"/>
  </r>
  <r>
    <n v="49"/>
    <x v="3"/>
    <x v="46"/>
    <x v="1"/>
    <s v="East Setauket"/>
    <s v="Hedge funds"/>
    <x v="3"/>
    <x v="1"/>
    <x v="0"/>
    <s v="Simons"/>
    <x v="17"/>
    <x v="41"/>
    <n v="1938"/>
    <n v="4"/>
    <n v="25"/>
    <n v="117.24"/>
    <n v="21427700000000"/>
    <n v="78.5"/>
    <n v="9.6"/>
    <n v="36.6"/>
    <n v="328239523"/>
    <n v="88.435998400344545"/>
    <d v="2026-10-01T00:00:00"/>
    <d v="1938-04-25T00:00:00"/>
  </r>
  <r>
    <n v="50"/>
    <x v="3"/>
    <x v="47"/>
    <x v="1"/>
    <s v="New York"/>
    <s v="Investments"/>
    <x v="3"/>
    <x v="1"/>
    <x v="0"/>
    <s v="Schwarzman"/>
    <x v="42"/>
    <x v="42"/>
    <n v="1947"/>
    <n v="2"/>
    <n v="14"/>
    <n v="117.24"/>
    <n v="21427700000000"/>
    <n v="78.5"/>
    <n v="9.6"/>
    <n v="36.6"/>
    <n v="328239523"/>
    <n v="79.627652292950032"/>
    <d v="2026-10-01T00:00:00"/>
    <d v="1947-02-14T00:00:00"/>
  </r>
  <r>
    <n v="51"/>
    <x v="1"/>
    <x v="48"/>
    <x v="7"/>
    <s v="Bad Homburg"/>
    <s v="BMW, pharmaceuticals"/>
    <x v="1"/>
    <x v="0"/>
    <x v="1"/>
    <s v="Klatten"/>
    <x v="43"/>
    <x v="43"/>
    <n v="1962"/>
    <n v="4"/>
    <n v="28"/>
    <n v="112.85"/>
    <n v="3845630030824"/>
    <n v="80.900000000000006"/>
    <n v="11.5"/>
    <n v="48.8"/>
    <n v="83132799"/>
    <n v="64.427783159934293"/>
    <d v="2026-10-01T00:00:00"/>
    <d v="1962-04-28T00:00:00"/>
  </r>
  <r>
    <n v="52"/>
    <x v="11"/>
    <x v="49"/>
    <x v="13"/>
    <s v="Perth"/>
    <s v="Mining"/>
    <x v="11"/>
    <x v="0"/>
    <x v="1"/>
    <s v="Rinehart"/>
    <x v="44"/>
    <x v="44"/>
    <n v="1954"/>
    <n v="2"/>
    <n v="9"/>
    <n v="119.8"/>
    <n v="1392680589329"/>
    <n v="82.7"/>
    <n v="23"/>
    <n v="47.4"/>
    <n v="25766605"/>
    <n v="72.641338184000304"/>
    <d v="2026-10-01T00:00:00"/>
    <d v="1954-02-09T00:00:00"/>
  </r>
  <r>
    <n v="53"/>
    <x v="2"/>
    <x v="50"/>
    <x v="5"/>
    <s v="Hangzhou"/>
    <s v="Online games"/>
    <x v="2"/>
    <x v="1"/>
    <x v="0"/>
    <s v="Ding"/>
    <x v="45"/>
    <x v="45"/>
    <n v="1971"/>
    <n v="10"/>
    <n v="1"/>
    <n v="125.08"/>
    <n v="19910000000000"/>
    <n v="77"/>
    <n v="9.4"/>
    <n v="59.2"/>
    <n v="1397715000"/>
    <n v="55.000684462696782"/>
    <d v="2026-10-01T00:00:00"/>
    <d v="1971-10-01T00:00:00"/>
  </r>
  <r>
    <n v="54"/>
    <x v="11"/>
    <x v="51"/>
    <x v="2"/>
    <s v="Mexico City"/>
    <s v="Mining"/>
    <x v="11"/>
    <x v="0"/>
    <x v="0"/>
    <s v="Larrea Mota Velasco"/>
    <x v="46"/>
    <x v="46"/>
    <n v="1953"/>
    <n v="10"/>
    <n v="26"/>
    <n v="141.54"/>
    <n v="1258286717125"/>
    <n v="75"/>
    <n v="13.1"/>
    <n v="55.1"/>
    <n v="126014024"/>
    <n v="72.932218440136154"/>
    <d v="2026-10-01T00:00:00"/>
    <d v="1953-10-26T00:00:00"/>
  </r>
  <r>
    <n v="55"/>
    <x v="2"/>
    <x v="52"/>
    <x v="3"/>
    <s v="Delhi"/>
    <s v="software services"/>
    <x v="2"/>
    <x v="1"/>
    <x v="0"/>
    <s v="Nadar"/>
    <x v="47"/>
    <x v="47"/>
    <n v="1945"/>
    <n v="7"/>
    <n v="18"/>
    <n v="180.44"/>
    <n v="2611000000000"/>
    <n v="69.400000000000006"/>
    <n v="11.2"/>
    <n v="49.7"/>
    <n v="1366417754"/>
    <n v="81.206010016694492"/>
    <d v="2026-10-01T00:00:00"/>
    <d v="1945-07-18T00:00:00"/>
  </r>
  <r>
    <n v="56"/>
    <x v="12"/>
    <x v="53"/>
    <x v="14"/>
    <s v="Jakarta"/>
    <s v="Coal"/>
    <x v="12"/>
    <x v="1"/>
    <x v="0"/>
    <s v="Low Tuck"/>
    <x v="48"/>
    <x v="48"/>
    <n v="1948"/>
    <n v="4"/>
    <n v="17"/>
    <n v="151.18"/>
    <n v="1119190780753"/>
    <n v="71.5"/>
    <n v="10.199999999999999"/>
    <n v="30.1"/>
    <n v="270203917"/>
    <n v="78.455172413793107"/>
    <d v="2026-10-01T00:00:00"/>
    <d v="1948-04-17T00:00:00"/>
  </r>
  <r>
    <n v="57"/>
    <x v="3"/>
    <x v="54"/>
    <x v="1"/>
    <s v="Palm Beach"/>
    <s v="Discount brokerage"/>
    <x v="3"/>
    <x v="1"/>
    <x v="0"/>
    <s v="Peterffy"/>
    <x v="49"/>
    <x v="49"/>
    <n v="1944"/>
    <n v="9"/>
    <n v="30"/>
    <n v="117.24"/>
    <n v="21427700000000"/>
    <n v="78.5"/>
    <n v="9.6"/>
    <n v="36.6"/>
    <n v="328239523"/>
    <n v="82.000692703522887"/>
    <d v="2026-10-01T00:00:00"/>
    <d v="1944-09-30T00:00:00"/>
  </r>
  <r>
    <n v="58"/>
    <x v="11"/>
    <x v="55"/>
    <x v="15"/>
    <s v="Ras Al Khaimah"/>
    <s v="Fertilizers, coal"/>
    <x v="11"/>
    <x v="1"/>
    <x v="0"/>
    <s v="Melnichenko"/>
    <x v="50"/>
    <x v="50"/>
    <n v="1972"/>
    <n v="3"/>
    <n v="8"/>
    <n v="114.52"/>
    <n v="421142267938"/>
    <n v="77.8"/>
    <n v="0.1"/>
    <n v="15.9"/>
    <n v="9770529"/>
    <n v="54.564687142217132"/>
    <d v="2026-10-01T00:00:00"/>
    <d v="1972-03-08T00:00:00"/>
  </r>
  <r>
    <n v="59"/>
    <x v="1"/>
    <x v="56"/>
    <x v="7"/>
    <s v="Frankfurt"/>
    <s v="BMW"/>
    <x v="1"/>
    <x v="0"/>
    <x v="0"/>
    <s v="Quandt"/>
    <x v="51"/>
    <x v="51"/>
    <n v="1966"/>
    <n v="5"/>
    <n v="9"/>
    <n v="112.85"/>
    <n v="3845630030824"/>
    <n v="80.900000000000006"/>
    <n v="11.5"/>
    <n v="48.8"/>
    <n v="83132799"/>
    <n v="60.39766606822262"/>
    <d v="2026-10-01T00:00:00"/>
    <d v="1966-05-09T00:00:00"/>
  </r>
  <r>
    <n v="60"/>
    <x v="2"/>
    <x v="57"/>
    <x v="1"/>
    <s v="Seattle"/>
    <s v="Amazon"/>
    <x v="2"/>
    <x v="0"/>
    <x v="1"/>
    <s v="Scott"/>
    <x v="52"/>
    <x v="52"/>
    <n v="1970"/>
    <n v="4"/>
    <n v="7"/>
    <n v="117.24"/>
    <n v="21427700000000"/>
    <n v="78.5"/>
    <n v="9.6"/>
    <n v="36.6"/>
    <n v="328239523"/>
    <n v="56.48527787117537"/>
    <d v="2026-10-01T00:00:00"/>
    <d v="1970-04-07T00:00:00"/>
  </r>
  <r>
    <n v="61"/>
    <x v="3"/>
    <x v="58"/>
    <x v="14"/>
    <s v="Kudus"/>
    <s v="Banking, tobacco"/>
    <x v="3"/>
    <x v="0"/>
    <x v="0"/>
    <s v="Hartono"/>
    <x v="53"/>
    <x v="53"/>
    <n v="1941"/>
    <n v="1"/>
    <n v="1"/>
    <n v="151.18"/>
    <n v="1119190780753"/>
    <n v="71.5"/>
    <n v="10.199999999999999"/>
    <n v="30.1"/>
    <n v="270203917"/>
    <n v="85.74811371812423"/>
    <d v="2026-10-01T00:00:00"/>
    <d v="1941-01-01T00:00:00"/>
  </r>
  <r>
    <n v="62"/>
    <x v="11"/>
    <x v="59"/>
    <x v="16"/>
    <s v="Moscow"/>
    <s v="Metals"/>
    <x v="11"/>
    <x v="1"/>
    <x v="0"/>
    <s v="Potanin"/>
    <x v="54"/>
    <x v="54"/>
    <n v="1961"/>
    <n v="1"/>
    <n v="3"/>
    <n v="180.75"/>
    <n v="1699876578871"/>
    <n v="72.7"/>
    <n v="11.4"/>
    <n v="46.2"/>
    <n v="144373535"/>
    <n v="65.742636687961507"/>
    <d v="2026-10-01T00:00:00"/>
    <d v="1961-01-03T00:00:00"/>
  </r>
  <r>
    <n v="63"/>
    <x v="2"/>
    <x v="60"/>
    <x v="5"/>
    <s v="Hangzhou"/>
    <s v="E-commerce"/>
    <x v="2"/>
    <x v="1"/>
    <x v="0"/>
    <s v="Ma"/>
    <x v="55"/>
    <x v="55"/>
    <n v="1964"/>
    <n v="9"/>
    <n v="10"/>
    <n v="125.08"/>
    <n v="19910000000000"/>
    <n v="77"/>
    <n v="9.4"/>
    <n v="59.2"/>
    <n v="1397715000"/>
    <n v="62.055451740471952"/>
    <d v="2026-10-01T00:00:00"/>
    <d v="1964-09-10T00:00:00"/>
  </r>
  <r>
    <n v="64"/>
    <x v="10"/>
    <x v="61"/>
    <x v="5"/>
    <s v="Foshan"/>
    <s v="Home appliances"/>
    <x v="10"/>
    <x v="1"/>
    <x v="0"/>
    <s v="He"/>
    <x v="56"/>
    <x v="56"/>
    <n v="1942"/>
    <n v="8"/>
    <n v="11"/>
    <n v="125.08"/>
    <n v="19910000000000"/>
    <n v="77"/>
    <n v="9.4"/>
    <n v="59.2"/>
    <n v="1397715000"/>
    <n v="84.140307930168134"/>
    <d v="2026-10-01T00:00:00"/>
    <d v="1942-08-11T00:00:00"/>
  </r>
  <r>
    <n v="65"/>
    <x v="11"/>
    <x v="62"/>
    <x v="17"/>
    <s v="Santiago"/>
    <s v="Mining"/>
    <x v="11"/>
    <x v="0"/>
    <x v="1"/>
    <s v="Fontbona"/>
    <x v="57"/>
    <x v="57"/>
    <n v="1943"/>
    <n v="1"/>
    <n v="1"/>
    <n v="131.91"/>
    <n v="282318159745"/>
    <n v="80"/>
    <n v="18.2"/>
    <n v="34"/>
    <n v="18952038"/>
    <n v="83.748117727583846"/>
    <d v="2026-10-01T00:00:00"/>
    <d v="1943-01-01T00:00:00"/>
  </r>
  <r>
    <n v="65"/>
    <x v="10"/>
    <x v="63"/>
    <x v="14"/>
    <s v="Kudus"/>
    <s v="Banking, tobacco"/>
    <x v="10"/>
    <x v="0"/>
    <x v="0"/>
    <s v="Hartono"/>
    <x v="6"/>
    <x v="57"/>
    <n v="1939"/>
    <n v="10"/>
    <n v="2"/>
    <n v="151.18"/>
    <n v="1119190780753"/>
    <n v="71.5"/>
    <n v="10.199999999999999"/>
    <n v="30.1"/>
    <n v="270203917"/>
    <n v="86.997946611909654"/>
    <d v="2026-10-01T00:00:00"/>
    <d v="1939-10-02T00:00:00"/>
  </r>
  <r>
    <n v="67"/>
    <x v="10"/>
    <x v="64"/>
    <x v="12"/>
    <s v="London"/>
    <s v="Chemicals"/>
    <x v="10"/>
    <x v="1"/>
    <x v="0"/>
    <s v="Ratcliffe"/>
    <x v="58"/>
    <x v="58"/>
    <n v="1953"/>
    <n v="1"/>
    <n v="1"/>
    <n v="119.62"/>
    <n v="2827113184696"/>
    <n v="81.3"/>
    <n v="25.5"/>
    <n v="30.6"/>
    <n v="66834405"/>
    <n v="73.748113067929552"/>
    <d v="2026-10-01T00:00:00"/>
    <d v="1953-01-01T00:00:00"/>
  </r>
  <r>
    <n v="68"/>
    <x v="13"/>
    <x v="65"/>
    <x v="3"/>
    <s v="Pune"/>
    <s v="Vaccines"/>
    <x v="13"/>
    <x v="0"/>
    <x v="0"/>
    <s v="Poonawalla"/>
    <x v="59"/>
    <x v="59"/>
    <n v="1941"/>
    <n v="5"/>
    <n v="11"/>
    <n v="180.44"/>
    <n v="2611000000000"/>
    <n v="69.400000000000006"/>
    <n v="11.2"/>
    <n v="49.7"/>
    <n v="1366417754"/>
    <n v="85.392187450256273"/>
    <d v="2026-10-01T00:00:00"/>
    <d v="1941-05-11T00:00:00"/>
  </r>
  <r>
    <n v="69"/>
    <x v="5"/>
    <x v="66"/>
    <x v="11"/>
    <s v="Tokyo"/>
    <s v="Internet, telecom"/>
    <x v="5"/>
    <x v="1"/>
    <x v="0"/>
    <s v="Son"/>
    <x v="60"/>
    <x v="60"/>
    <n v="1957"/>
    <n v="8"/>
    <n v="11"/>
    <n v="105.48"/>
    <n v="5081769542380"/>
    <n v="84.2"/>
    <n v="11.9"/>
    <n v="46.7"/>
    <n v="126226568"/>
    <n v="69.140298040442758"/>
    <d v="2026-10-01T00:00:00"/>
    <d v="1957-08-11T00:00:00"/>
  </r>
  <r>
    <n v="70"/>
    <x v="11"/>
    <x v="67"/>
    <x v="16"/>
    <s v="Moscow"/>
    <s v="Steel, transport"/>
    <x v="11"/>
    <x v="1"/>
    <x v="0"/>
    <s v="Lisin"/>
    <x v="54"/>
    <x v="61"/>
    <n v="1956"/>
    <n v="5"/>
    <n v="7"/>
    <n v="180.75"/>
    <n v="1699876578871"/>
    <n v="72.7"/>
    <n v="11.4"/>
    <n v="46.2"/>
    <n v="144373535"/>
    <n v="70.400416457795089"/>
    <d v="2026-10-01T00:00:00"/>
    <d v="1956-05-07T00:00:00"/>
  </r>
  <r>
    <n v="71"/>
    <x v="7"/>
    <x v="68"/>
    <x v="0"/>
    <s v="Laval"/>
    <s v="Cheese"/>
    <x v="7"/>
    <x v="0"/>
    <x v="0"/>
    <s v="Besnier"/>
    <x v="61"/>
    <x v="62"/>
    <n v="1970"/>
    <n v="9"/>
    <n v="18"/>
    <n v="110.05"/>
    <n v="2715518274227"/>
    <n v="82.5"/>
    <n v="24.2"/>
    <n v="60.7"/>
    <n v="67059887"/>
    <n v="56.036264950285798"/>
    <d v="2026-10-01T00:00:00"/>
    <d v="1970-09-18T00:00:00"/>
  </r>
  <r>
    <n v="72"/>
    <x v="3"/>
    <x v="69"/>
    <x v="1"/>
    <s v="Milton"/>
    <s v="Fidelity"/>
    <x v="3"/>
    <x v="0"/>
    <x v="1"/>
    <s v="Johnson"/>
    <x v="62"/>
    <x v="63"/>
    <n v="1961"/>
    <n v="12"/>
    <n v="19"/>
    <n v="117.24"/>
    <n v="21427700000000"/>
    <n v="78.5"/>
    <n v="9.6"/>
    <n v="36.6"/>
    <n v="328239523"/>
    <n v="64.784369036754327"/>
    <d v="2026-10-01T00:00:00"/>
    <d v="1961-12-19T00:00:00"/>
  </r>
  <r>
    <n v="72"/>
    <x v="12"/>
    <x v="70"/>
    <x v="16"/>
    <s v="Moscow"/>
    <s v="Gas, chemicals"/>
    <x v="12"/>
    <x v="1"/>
    <x v="0"/>
    <s v="Mikhelson"/>
    <x v="63"/>
    <x v="63"/>
    <n v="1955"/>
    <n v="8"/>
    <n v="11"/>
    <n v="180.75"/>
    <n v="1699876578871"/>
    <n v="72.7"/>
    <n v="11.4"/>
    <n v="46.2"/>
    <n v="144373535"/>
    <n v="71.140314852840518"/>
    <d v="2026-10-01T00:00:00"/>
    <d v="1955-08-11T00:00:00"/>
  </r>
  <r>
    <n v="74"/>
    <x v="0"/>
    <x v="71"/>
    <x v="1"/>
    <s v="Chicago"/>
    <s v="Walmart"/>
    <x v="0"/>
    <x v="0"/>
    <x v="0"/>
    <s v="Walton"/>
    <x v="64"/>
    <x v="64"/>
    <n v="1986"/>
    <n v="9"/>
    <n v="19"/>
    <n v="117.24"/>
    <n v="21427700000000"/>
    <n v="78.5"/>
    <n v="9.6"/>
    <n v="36.6"/>
    <n v="328239523"/>
    <n v="40.033522537562604"/>
    <d v="2026-10-01T00:00:00"/>
    <d v="1986-09-19T00:00:00"/>
  </r>
  <r>
    <n v="74"/>
    <x v="14"/>
    <x v="72"/>
    <x v="5"/>
    <s v="Shenzhen"/>
    <s v="Package delivery"/>
    <x v="14"/>
    <x v="1"/>
    <x v="0"/>
    <s v="Wang"/>
    <x v="65"/>
    <x v="64"/>
    <n v="1970"/>
    <n v="10"/>
    <n v="1"/>
    <n v="125.08"/>
    <n v="19910000000000"/>
    <n v="77"/>
    <n v="9.4"/>
    <n v="59.2"/>
    <n v="1397715000"/>
    <n v="56.000672462654308"/>
    <d v="2026-10-01T00:00:00"/>
    <d v="1970-10-01T00:00:00"/>
  </r>
  <r>
    <n v="76"/>
    <x v="2"/>
    <x v="73"/>
    <x v="1"/>
    <s v="Los Altos"/>
    <s v="Semiconductors"/>
    <x v="2"/>
    <x v="1"/>
    <x v="0"/>
    <s v="Huang"/>
    <x v="66"/>
    <x v="65"/>
    <n v="1963"/>
    <n v="2"/>
    <n v="17"/>
    <n v="117.24"/>
    <n v="21427700000000"/>
    <n v="78.5"/>
    <n v="9.6"/>
    <n v="36.6"/>
    <n v="328239523"/>
    <n v="63.619438740588635"/>
    <d v="2026-10-01T00:00:00"/>
    <d v="1963-02-17T00:00:00"/>
  </r>
  <r>
    <n v="77"/>
    <x v="0"/>
    <x v="74"/>
    <x v="1"/>
    <s v="New York"/>
    <s v="Estee Lauder"/>
    <x v="0"/>
    <x v="0"/>
    <x v="0"/>
    <s v="Lauder"/>
    <x v="67"/>
    <x v="66"/>
    <n v="1933"/>
    <n v="3"/>
    <n v="19"/>
    <n v="117.24"/>
    <n v="21427700000000"/>
    <n v="78.5"/>
    <n v="9.6"/>
    <n v="36.6"/>
    <n v="328239523"/>
    <n v="93.537296478606592"/>
    <d v="2026-10-01T00:00:00"/>
    <d v="1933-03-19T00:00:00"/>
  </r>
  <r>
    <n v="77"/>
    <x v="10"/>
    <x v="75"/>
    <x v="11"/>
    <s v="Osaka"/>
    <s v="Sensors"/>
    <x v="10"/>
    <x v="1"/>
    <x v="0"/>
    <s v="Takizaki"/>
    <x v="68"/>
    <x v="66"/>
    <n v="1945"/>
    <n v="6"/>
    <n v="10"/>
    <n v="105.48"/>
    <n v="5081769542380"/>
    <n v="84.2"/>
    <n v="11.9"/>
    <n v="46.7"/>
    <n v="126226568"/>
    <n v="81.310050083472447"/>
    <d v="2026-10-01T00:00:00"/>
    <d v="1945-06-10T00:00:00"/>
  </r>
  <r>
    <n v="79"/>
    <x v="11"/>
    <x v="76"/>
    <x v="16"/>
    <s v="Moscow"/>
    <s v="Steel, investments"/>
    <x v="11"/>
    <x v="1"/>
    <x v="0"/>
    <s v="Mordashov"/>
    <x v="69"/>
    <x v="67"/>
    <n v="1965"/>
    <n v="9"/>
    <n v="26"/>
    <n v="180.75"/>
    <n v="1699876578871"/>
    <n v="72.7"/>
    <n v="11.4"/>
    <n v="46.2"/>
    <n v="144373535"/>
    <n v="61.014351954073746"/>
    <d v="2026-10-01T00:00:00"/>
    <d v="1965-09-26T00:00:00"/>
  </r>
  <r>
    <n v="80"/>
    <x v="12"/>
    <x v="77"/>
    <x v="16"/>
    <s v="Moscow"/>
    <s v="Oil"/>
    <x v="12"/>
    <x v="1"/>
    <x v="0"/>
    <s v="Alekperov"/>
    <x v="70"/>
    <x v="68"/>
    <n v="1950"/>
    <n v="9"/>
    <n v="1"/>
    <n v="180.75"/>
    <n v="1699876578871"/>
    <n v="72.7"/>
    <n v="11.4"/>
    <n v="46.2"/>
    <n v="144373535"/>
    <n v="76.08281183330962"/>
    <d v="2026-10-01T00:00:00"/>
    <d v="1950-09-01T00:00:00"/>
  </r>
  <r>
    <n v="81"/>
    <x v="13"/>
    <x v="78"/>
    <x v="1"/>
    <s v="Nashville"/>
    <s v="Hospitals"/>
    <x v="13"/>
    <x v="1"/>
    <x v="0"/>
    <s v="Frist"/>
    <x v="49"/>
    <x v="69"/>
    <n v="1938"/>
    <n v="8"/>
    <n v="12"/>
    <n v="117.24"/>
    <n v="21427700000000"/>
    <n v="78.5"/>
    <n v="9.6"/>
    <n v="36.6"/>
    <n v="328239523"/>
    <n v="88.137570369458885"/>
    <d v="2026-10-01T00:00:00"/>
    <d v="1938-08-12T00:00:00"/>
  </r>
  <r>
    <n v="82"/>
    <x v="11"/>
    <x v="79"/>
    <x v="13"/>
    <s v="Perth"/>
    <s v="Mining"/>
    <x v="11"/>
    <x v="1"/>
    <x v="0"/>
    <s v="Forrest"/>
    <x v="71"/>
    <x v="70"/>
    <n v="1961"/>
    <n v="11"/>
    <n v="18"/>
    <n v="119.8"/>
    <n v="1392680589329"/>
    <n v="82.7"/>
    <n v="23"/>
    <n v="47.4"/>
    <n v="25766605"/>
    <n v="64.869244171575545"/>
    <d v="2026-10-01T00:00:00"/>
    <d v="1961-11-18T00:00:00"/>
  </r>
  <r>
    <n v="83"/>
    <x v="3"/>
    <x v="80"/>
    <x v="1"/>
    <s v="Greenwich"/>
    <s v="Hedge funds"/>
    <x v="3"/>
    <x v="1"/>
    <x v="0"/>
    <s v="Dalio"/>
    <x v="72"/>
    <x v="71"/>
    <n v="1949"/>
    <n v="8"/>
    <n v="8"/>
    <n v="117.24"/>
    <n v="21427700000000"/>
    <n v="78.5"/>
    <n v="9.6"/>
    <n v="36.6"/>
    <n v="328239523"/>
    <n v="77.148513461335952"/>
    <d v="2026-10-01T00:00:00"/>
    <d v="1949-08-08T00:00:00"/>
  </r>
  <r>
    <n v="84"/>
    <x v="1"/>
    <x v="81"/>
    <x v="5"/>
    <s v="Hangzhou"/>
    <s v="Automobiles"/>
    <x v="1"/>
    <x v="1"/>
    <x v="0"/>
    <s v="Li"/>
    <x v="73"/>
    <x v="72"/>
    <n v="1963"/>
    <n v="6"/>
    <n v="1"/>
    <n v="125.08"/>
    <n v="19910000000000"/>
    <n v="77"/>
    <n v="9.4"/>
    <n v="59.2"/>
    <n v="1397715000"/>
    <n v="63.3347022587269"/>
    <d v="2026-10-01T00:00:00"/>
    <d v="1963-06-01T00:00:00"/>
  </r>
  <r>
    <n v="84"/>
    <x v="11"/>
    <x v="82"/>
    <x v="5"/>
    <s v="Shenzhen"/>
    <s v="Mining, copper products"/>
    <x v="11"/>
    <x v="1"/>
    <x v="0"/>
    <s v="Wang"/>
    <x v="74"/>
    <x v="72"/>
    <n v="1968"/>
    <n v="3"/>
    <n v="1"/>
    <n v="125.08"/>
    <n v="19910000000000"/>
    <n v="77"/>
    <n v="9.4"/>
    <n v="59.2"/>
    <n v="1397715000"/>
    <n v="58.583851508120652"/>
    <d v="2026-10-01T00:00:00"/>
    <d v="1968-03-01T00:00:00"/>
  </r>
  <r>
    <n v="86"/>
    <x v="7"/>
    <x v="83"/>
    <x v="5"/>
    <s v="Nanyang"/>
    <s v="Pig breeding"/>
    <x v="7"/>
    <x v="1"/>
    <x v="0"/>
    <s v="Qin"/>
    <x v="75"/>
    <x v="73"/>
    <n v="1965"/>
    <n v="4"/>
    <n v="17"/>
    <n v="125.08"/>
    <n v="19910000000000"/>
    <n v="77"/>
    <n v="9.4"/>
    <n v="59.2"/>
    <n v="1397715000"/>
    <n v="61.457893574740559"/>
    <d v="2026-10-01T00:00:00"/>
    <d v="1965-04-17T00:00:00"/>
  </r>
  <r>
    <n v="88"/>
    <x v="1"/>
    <x v="84"/>
    <x v="5"/>
    <s v="Shenzhen"/>
    <s v="Batteries, automobiles"/>
    <x v="1"/>
    <x v="1"/>
    <x v="0"/>
    <s v="Wang"/>
    <x v="76"/>
    <x v="74"/>
    <n v="1966"/>
    <n v="2"/>
    <n v="15"/>
    <n v="125.08"/>
    <n v="19910000000000"/>
    <n v="77"/>
    <n v="9.4"/>
    <n v="59.2"/>
    <n v="1397715000"/>
    <n v="60.62491023339318"/>
    <d v="2026-10-01T00:00:00"/>
    <d v="1966-02-15T00:00:00"/>
  </r>
  <r>
    <n v="89"/>
    <x v="12"/>
    <x v="85"/>
    <x v="1"/>
    <s v="Oklahoma City"/>
    <s v="Oil &amp; gas"/>
    <x v="12"/>
    <x v="1"/>
    <x v="0"/>
    <s v="Hamm"/>
    <x v="77"/>
    <x v="75"/>
    <n v="1945"/>
    <n v="12"/>
    <n v="11"/>
    <n v="117.24"/>
    <n v="21427700000000"/>
    <n v="78.5"/>
    <n v="9.6"/>
    <n v="36.6"/>
    <n v="328239523"/>
    <n v="80.806277128547578"/>
    <d v="2026-10-01T00:00:00"/>
    <d v="1945-12-11T00:00:00"/>
  </r>
  <r>
    <n v="89"/>
    <x v="3"/>
    <x v="86"/>
    <x v="1"/>
    <s v="Palm Beach"/>
    <s v="Hedge funds"/>
    <x v="3"/>
    <x v="1"/>
    <x v="0"/>
    <s v="Tepper"/>
    <x v="20"/>
    <x v="75"/>
    <n v="1957"/>
    <n v="9"/>
    <n v="11"/>
    <n v="117.24"/>
    <n v="21427700000000"/>
    <n v="78.5"/>
    <n v="9.6"/>
    <n v="36.6"/>
    <n v="328239523"/>
    <n v="69.055423006218959"/>
    <d v="2026-10-01T00:00:00"/>
    <d v="1957-09-11T00:00:00"/>
  </r>
  <r>
    <n v="89"/>
    <x v="12"/>
    <x v="87"/>
    <x v="16"/>
    <s v="Moscow"/>
    <s v="Oil, gas"/>
    <x v="12"/>
    <x v="1"/>
    <x v="0"/>
    <s v="Timchenko"/>
    <x v="78"/>
    <x v="75"/>
    <n v="1952"/>
    <n v="11"/>
    <n v="9"/>
    <n v="180.75"/>
    <n v="1699876578871"/>
    <n v="72.7"/>
    <n v="11.4"/>
    <n v="46.2"/>
    <n v="144373535"/>
    <n v="73.891180550485515"/>
    <d v="2026-10-01T00:00:00"/>
    <d v="1952-11-09T00:00:00"/>
  </r>
  <r>
    <n v="92"/>
    <x v="3"/>
    <x v="88"/>
    <x v="1"/>
    <s v="Franklin"/>
    <s v="Quicken Loans"/>
    <x v="3"/>
    <x v="1"/>
    <x v="0"/>
    <s v="Gilbert"/>
    <x v="79"/>
    <x v="76"/>
    <n v="1962"/>
    <n v="1"/>
    <n v="17"/>
    <n v="117.24"/>
    <n v="21427700000000"/>
    <n v="78.5"/>
    <n v="9.6"/>
    <n v="36.6"/>
    <n v="328239523"/>
    <n v="64.704309001305759"/>
    <d v="2026-10-01T00:00:00"/>
    <d v="1962-01-17T00:00:00"/>
  </r>
  <r>
    <n v="93"/>
    <x v="11"/>
    <x v="89"/>
    <x v="12"/>
    <s v="London"/>
    <s v="Steel"/>
    <x v="11"/>
    <x v="0"/>
    <x v="0"/>
    <s v="Mittal"/>
    <x v="80"/>
    <x v="77"/>
    <n v="1950"/>
    <n v="6"/>
    <n v="15"/>
    <n v="119.62"/>
    <n v="2827113184696"/>
    <n v="81.3"/>
    <n v="25.5"/>
    <n v="30.6"/>
    <n v="66834405"/>
    <n v="76.296366093016644"/>
    <d v="2026-10-01T00:00:00"/>
    <d v="1950-06-15T00:00:00"/>
  </r>
  <r>
    <n v="94"/>
    <x v="3"/>
    <x v="90"/>
    <x v="1"/>
    <s v="Greenwich"/>
    <s v="Hedge funds"/>
    <x v="3"/>
    <x v="1"/>
    <x v="0"/>
    <s v="Cohen"/>
    <x v="9"/>
    <x v="78"/>
    <n v="1956"/>
    <n v="6"/>
    <n v="11"/>
    <n v="117.24"/>
    <n v="21427700000000"/>
    <n v="78.5"/>
    <n v="9.6"/>
    <n v="36.6"/>
    <n v="328239523"/>
    <n v="70.30459260401804"/>
    <d v="2026-10-01T00:00:00"/>
    <d v="1956-06-11T00:00:00"/>
  </r>
  <r>
    <n v="94"/>
    <x v="3"/>
    <x v="91"/>
    <x v="1"/>
    <s v="Indian Creek"/>
    <s v="Investments"/>
    <x v="3"/>
    <x v="1"/>
    <x v="0"/>
    <s v="Icahn"/>
    <x v="81"/>
    <x v="78"/>
    <n v="1936"/>
    <n v="2"/>
    <n v="16"/>
    <n v="117.24"/>
    <n v="21427700000000"/>
    <n v="78.5"/>
    <n v="9.6"/>
    <n v="36.6"/>
    <n v="328239523"/>
    <n v="90.622179433178886"/>
    <d v="2026-10-01T00:00:00"/>
    <d v="1936-02-16T00:00:00"/>
  </r>
  <r>
    <n v="94"/>
    <x v="11"/>
    <x v="92"/>
    <x v="3"/>
    <s v="Hisar"/>
    <s v="Steel"/>
    <x v="11"/>
    <x v="0"/>
    <x v="1"/>
    <s v="Jindal"/>
    <x v="82"/>
    <x v="78"/>
    <n v="1950"/>
    <n v="3"/>
    <n v="20"/>
    <n v="180.44"/>
    <n v="2611000000000"/>
    <n v="69.400000000000006"/>
    <n v="11.2"/>
    <n v="49.7"/>
    <n v="1366417754"/>
    <n v="76.534561228843685"/>
    <d v="2026-10-01T00:00:00"/>
    <d v="1950-03-20T00:00:00"/>
  </r>
  <r>
    <n v="97"/>
    <x v="15"/>
    <x v="93"/>
    <x v="1"/>
    <s v="Newport Beach"/>
    <s v="Real estate"/>
    <x v="15"/>
    <x v="1"/>
    <x v="0"/>
    <s v="Bren"/>
    <x v="83"/>
    <x v="79"/>
    <n v="1932"/>
    <n v="5"/>
    <n v="11"/>
    <n v="117.24"/>
    <n v="21427700000000"/>
    <n v="78.5"/>
    <n v="9.6"/>
    <n v="36.6"/>
    <n v="328239523"/>
    <n v="94.389463673304704"/>
    <d v="2026-10-01T00:00:00"/>
    <d v="1932-05-11T00:00:00"/>
  </r>
  <r>
    <n v="97"/>
    <x v="0"/>
    <x v="94"/>
    <x v="1"/>
    <s v="Eau Claire"/>
    <s v="Home improvement stores"/>
    <x v="0"/>
    <x v="1"/>
    <x v="0"/>
    <s v="Menard"/>
    <x v="29"/>
    <x v="79"/>
    <n v="1940"/>
    <n v="1"/>
    <n v="22"/>
    <n v="117.24"/>
    <n v="21427700000000"/>
    <n v="78.5"/>
    <n v="9.6"/>
    <n v="36.6"/>
    <n v="328239523"/>
    <n v="86.690625295024702"/>
    <d v="2026-10-01T00:00:00"/>
    <d v="1940-01-22T00:00:00"/>
  </r>
  <r>
    <n v="99"/>
    <x v="4"/>
    <x v="95"/>
    <x v="1"/>
    <s v="New York"/>
    <s v="Newspapers, TV network"/>
    <x v="4"/>
    <x v="0"/>
    <x v="0"/>
    <s v="Murdoch"/>
    <x v="84"/>
    <x v="80"/>
    <n v="1931"/>
    <n v="3"/>
    <n v="11"/>
    <n v="117.24"/>
    <n v="21427700000000"/>
    <n v="78.5"/>
    <n v="9.6"/>
    <n v="36.6"/>
    <n v="328239523"/>
    <n v="95.559206023271727"/>
    <d v="2026-10-01T00:00:00"/>
    <d v="1931-03-11T00:00:00"/>
  </r>
  <r>
    <n v="100"/>
    <x v="3"/>
    <x v="96"/>
    <x v="8"/>
    <s v="Crans-Montana"/>
    <s v="Banking"/>
    <x v="3"/>
    <x v="0"/>
    <x v="1"/>
    <s v="Safra"/>
    <x v="85"/>
    <x v="81"/>
    <n v="1953"/>
    <n v="1"/>
    <n v="1"/>
    <n v="99.55"/>
    <n v="703082435360"/>
    <n v="83.6"/>
    <n v="10.1"/>
    <n v="28.8"/>
    <n v="8574832"/>
    <n v="73.748113067929552"/>
    <d v="2026-10-01T00:00:00"/>
    <d v="1953-01-01T00:00:00"/>
  </r>
  <r>
    <n v="101"/>
    <x v="0"/>
    <x v="97"/>
    <x v="7"/>
    <s v="Mulheim an der Ruhr"/>
    <s v="Aldi, Trader Joe's"/>
    <x v="0"/>
    <x v="0"/>
    <x v="0"/>
    <s v="Albrecht"/>
    <x v="86"/>
    <x v="82"/>
    <n v="1951"/>
    <n v="1"/>
    <n v="1"/>
    <n v="112.85"/>
    <n v="3845630030824"/>
    <n v="80.900000000000006"/>
    <n v="11.5"/>
    <n v="48.8"/>
    <n v="83132799"/>
    <n v="75.748117727583846"/>
    <d v="2026-10-01T00:00:00"/>
    <d v="1951-01-01T00:00:00"/>
  </r>
  <r>
    <n v="101"/>
    <x v="3"/>
    <x v="98"/>
    <x v="18"/>
    <s v="Prague"/>
    <s v="Finance, telecommunications"/>
    <x v="3"/>
    <x v="0"/>
    <x v="1"/>
    <s v="Kellnerova"/>
    <x v="87"/>
    <x v="82"/>
    <n v="1967"/>
    <n v="7"/>
    <n v="4"/>
    <n v="116.48"/>
    <n v="246489245495"/>
    <n v="79"/>
    <n v="14.9"/>
    <n v="46.1"/>
    <n v="10669709"/>
    <n v="59.244353182751539"/>
    <d v="2026-10-01T00:00:00"/>
    <d v="1967-07-04T00:00:00"/>
  </r>
  <r>
    <n v="103"/>
    <x v="13"/>
    <x v="99"/>
    <x v="5"/>
    <s v="Shenzhen"/>
    <s v="medical devices"/>
    <x v="13"/>
    <x v="1"/>
    <x v="0"/>
    <s v="Li"/>
    <x v="88"/>
    <x v="83"/>
    <n v="1951"/>
    <n v="1"/>
    <n v="1"/>
    <n v="125.08"/>
    <n v="19910000000000"/>
    <n v="77"/>
    <n v="9.4"/>
    <n v="59.2"/>
    <n v="1397715000"/>
    <n v="75.748117727583846"/>
    <d v="2026-10-01T00:00:00"/>
    <d v="1951-01-01T00:00:00"/>
  </r>
  <r>
    <n v="104"/>
    <x v="0"/>
    <x v="100"/>
    <x v="19"/>
    <s v="Stockholm"/>
    <s v="H&amp;M"/>
    <x v="0"/>
    <x v="0"/>
    <x v="0"/>
    <s v="Persson"/>
    <x v="51"/>
    <x v="84"/>
    <n v="1947"/>
    <n v="10"/>
    <n v="4"/>
    <n v="110.51"/>
    <n v="530832908738"/>
    <n v="82.5"/>
    <n v="27.9"/>
    <n v="49.1"/>
    <n v="10285453"/>
    <n v="78.992470910335385"/>
    <d v="2026-10-01T00:00:00"/>
    <d v="1947-10-04T00:00:00"/>
  </r>
  <r>
    <n v="104"/>
    <x v="2"/>
    <x v="101"/>
    <x v="1"/>
    <s v="Atherton"/>
    <s v="Google"/>
    <x v="2"/>
    <x v="1"/>
    <x v="0"/>
    <s v="Schmidt"/>
    <x v="73"/>
    <x v="84"/>
    <n v="1955"/>
    <n v="4"/>
    <n v="27"/>
    <n v="117.24"/>
    <n v="21427700000000"/>
    <n v="78.5"/>
    <n v="9.6"/>
    <n v="36.6"/>
    <n v="328239523"/>
    <n v="71.43052703627653"/>
    <d v="2026-10-01T00:00:00"/>
    <d v="1955-04-27T00:00:00"/>
  </r>
  <r>
    <n v="106"/>
    <x v="3"/>
    <x v="102"/>
    <x v="8"/>
    <s v="Geneva"/>
    <s v="Hedge funds"/>
    <x v="3"/>
    <x v="1"/>
    <x v="0"/>
    <s v="Platt"/>
    <x v="6"/>
    <x v="85"/>
    <n v="1968"/>
    <n v="3"/>
    <n v="18"/>
    <n v="99.55"/>
    <n v="703082435360"/>
    <n v="83.6"/>
    <n v="10.1"/>
    <n v="28.8"/>
    <n v="8574832"/>
    <n v="58.537308584686777"/>
    <d v="2026-10-01T00:00:00"/>
    <d v="1968-03-18T00:00:00"/>
  </r>
  <r>
    <n v="107"/>
    <x v="7"/>
    <x v="103"/>
    <x v="5"/>
    <s v="Foshan"/>
    <s v="Soy sauce"/>
    <x v="7"/>
    <x v="1"/>
    <x v="0"/>
    <s v="Pang"/>
    <x v="89"/>
    <x v="86"/>
    <n v="1956"/>
    <n v="1"/>
    <n v="19"/>
    <n v="125.08"/>
    <n v="19910000000000"/>
    <n v="77"/>
    <n v="9.4"/>
    <n v="59.2"/>
    <n v="1397715000"/>
    <n v="70.698839316700727"/>
    <d v="2026-10-01T00:00:00"/>
    <d v="1956-01-19T00:00:00"/>
  </r>
  <r>
    <n v="108"/>
    <x v="7"/>
    <x v="104"/>
    <x v="8"/>
    <s v="Zurich"/>
    <s v="Beer"/>
    <x v="7"/>
    <x v="1"/>
    <x v="0"/>
    <s v="Lemann"/>
    <x v="90"/>
    <x v="87"/>
    <n v="1939"/>
    <n v="8"/>
    <n v="26"/>
    <n v="99.55"/>
    <n v="703082435360"/>
    <n v="83.6"/>
    <n v="10.1"/>
    <n v="28.8"/>
    <n v="8574832"/>
    <n v="87.099247091033533"/>
    <d v="2026-10-01T00:00:00"/>
    <d v="1939-08-26T00:00:00"/>
  </r>
  <r>
    <n v="112"/>
    <x v="13"/>
    <x v="105"/>
    <x v="3"/>
    <s v="Mumbai"/>
    <s v="Pharmaceuticals"/>
    <x v="13"/>
    <x v="1"/>
    <x v="0"/>
    <s v="Shanghvi"/>
    <x v="91"/>
    <x v="88"/>
    <n v="1955"/>
    <n v="10"/>
    <n v="1"/>
    <n v="180.44"/>
    <n v="2611000000000"/>
    <n v="69.400000000000006"/>
    <n v="11.2"/>
    <n v="49.7"/>
    <n v="1366417754"/>
    <n v="71.000684462696782"/>
    <d v="2026-10-01T00:00:00"/>
    <d v="1955-10-01T00:00:00"/>
  </r>
  <r>
    <n v="113"/>
    <x v="2"/>
    <x v="106"/>
    <x v="1"/>
    <s v="San Jose"/>
    <s v="Wireless networking"/>
    <x v="2"/>
    <x v="1"/>
    <x v="0"/>
    <s v="Pera"/>
    <x v="92"/>
    <x v="89"/>
    <n v="1978"/>
    <n v="3"/>
    <n v="10"/>
    <n v="117.24"/>
    <n v="21427700000000"/>
    <n v="78.5"/>
    <n v="9.6"/>
    <n v="36.6"/>
    <n v="328239523"/>
    <n v="48.561937754930995"/>
    <d v="2026-10-01T00:00:00"/>
    <d v="1978-03-10T00:00:00"/>
  </r>
  <r>
    <n v="114"/>
    <x v="0"/>
    <x v="107"/>
    <x v="3"/>
    <s v="Mumbai"/>
    <s v="Retail, investments"/>
    <x v="0"/>
    <x v="1"/>
    <x v="0"/>
    <s v="Damani"/>
    <x v="93"/>
    <x v="90"/>
    <n v="1955"/>
    <n v="1"/>
    <n v="1"/>
    <n v="180.44"/>
    <n v="2611000000000"/>
    <n v="69.400000000000006"/>
    <n v="11.2"/>
    <n v="49.7"/>
    <n v="1366417754"/>
    <n v="71.748117727583846"/>
    <d v="2026-10-01T00:00:00"/>
    <d v="1955-01-01T00:00:00"/>
  </r>
  <r>
    <n v="115"/>
    <x v="1"/>
    <x v="108"/>
    <x v="5"/>
    <s v="Ningde"/>
    <s v="Batteries"/>
    <x v="1"/>
    <x v="1"/>
    <x v="0"/>
    <s v="Huang"/>
    <x v="94"/>
    <x v="91"/>
    <n v="1967"/>
    <n v="1"/>
    <n v="1"/>
    <n v="125.08"/>
    <n v="19910000000000"/>
    <n v="77"/>
    <n v="9.4"/>
    <n v="59.2"/>
    <n v="1397715000"/>
    <n v="59.748117727583846"/>
    <d v="2026-10-01T00:00:00"/>
    <d v="1967-01-01T00:00:00"/>
  </r>
  <r>
    <n v="116"/>
    <x v="6"/>
    <x v="109"/>
    <x v="20"/>
    <s v="Bangkok"/>
    <s v="Diversified"/>
    <x v="6"/>
    <x v="0"/>
    <x v="0"/>
    <s v="Chearavanont"/>
    <x v="95"/>
    <x v="92"/>
    <n v="1939"/>
    <n v="4"/>
    <n v="19"/>
    <n v="113.27"/>
    <n v="543649976166"/>
    <n v="76.900000000000006"/>
    <n v="14.9"/>
    <n v="29.5"/>
    <n v="69625582"/>
    <n v="87.452429842573579"/>
    <d v="2026-10-01T00:00:00"/>
    <d v="1939-04-19T00:00:00"/>
  </r>
  <r>
    <n v="116"/>
    <x v="0"/>
    <x v="110"/>
    <x v="1"/>
    <s v="Oklahoma City"/>
    <s v="Retail"/>
    <x v="0"/>
    <x v="1"/>
    <x v="0"/>
    <s v="Green"/>
    <x v="20"/>
    <x v="92"/>
    <n v="1941"/>
    <n v="11"/>
    <n v="13"/>
    <n v="117.24"/>
    <n v="21427700000000"/>
    <n v="78.5"/>
    <n v="9.6"/>
    <n v="36.6"/>
    <n v="328239523"/>
    <n v="84.8829390977683"/>
    <d v="2026-10-01T00:00:00"/>
    <d v="1941-11-13T00:00:00"/>
  </r>
  <r>
    <n v="118"/>
    <x v="7"/>
    <x v="111"/>
    <x v="20"/>
    <s v="Bangkok"/>
    <s v="Alcohol, real estate"/>
    <x v="7"/>
    <x v="1"/>
    <x v="0"/>
    <s v="Sirivadhanabhakdi"/>
    <x v="96"/>
    <x v="93"/>
    <n v="1944"/>
    <n v="5"/>
    <n v="2"/>
    <n v="113.27"/>
    <n v="543649976166"/>
    <n v="76.900000000000006"/>
    <n v="14.9"/>
    <n v="29.5"/>
    <n v="69625582"/>
    <n v="82.414104763161362"/>
    <d v="2026-10-01T00:00:00"/>
    <d v="1944-05-02T00:00:00"/>
  </r>
  <r>
    <n v="119"/>
    <x v="7"/>
    <x v="112"/>
    <x v="12"/>
    <s v="London"/>
    <s v="Heineken"/>
    <x v="7"/>
    <x v="0"/>
    <x v="1"/>
    <s v="de Carvalho-Heineken"/>
    <x v="97"/>
    <x v="94"/>
    <n v="1954"/>
    <n v="6"/>
    <n v="30"/>
    <n v="119.62"/>
    <n v="2827113184696"/>
    <n v="81.3"/>
    <n v="25.5"/>
    <n v="30.6"/>
    <n v="66834405"/>
    <n v="72.255297603420473"/>
    <d v="2026-10-01T00:00:00"/>
    <d v="1954-06-30T00:00:00"/>
  </r>
  <r>
    <n v="120"/>
    <x v="13"/>
    <x v="113"/>
    <x v="5"/>
    <s v="Shenzhen"/>
    <s v="Medical devices"/>
    <x v="13"/>
    <x v="1"/>
    <x v="0"/>
    <s v="Xu"/>
    <x v="98"/>
    <x v="95"/>
    <n v="1962"/>
    <n v="5"/>
    <n v="22"/>
    <n v="125.08"/>
    <n v="19910000000000"/>
    <n v="77"/>
    <n v="9.4"/>
    <n v="59.2"/>
    <n v="1397715000"/>
    <n v="64.362074049113346"/>
    <d v="2026-10-01T00:00:00"/>
    <d v="1962-05-22T00:00:00"/>
  </r>
  <r>
    <n v="121"/>
    <x v="1"/>
    <x v="114"/>
    <x v="5"/>
    <s v="Baoding"/>
    <s v="Automobiles"/>
    <x v="1"/>
    <x v="1"/>
    <x v="0"/>
    <s v="Wei"/>
    <x v="99"/>
    <x v="96"/>
    <n v="1964"/>
    <n v="3"/>
    <n v="1"/>
    <n v="125.08"/>
    <n v="19910000000000"/>
    <n v="77"/>
    <n v="9.4"/>
    <n v="59.2"/>
    <n v="1397715000"/>
    <n v="62.583851201599238"/>
    <d v="2026-10-01T00:00:00"/>
    <d v="1964-03-01T00:00:00"/>
  </r>
  <r>
    <n v="123"/>
    <x v="10"/>
    <x v="115"/>
    <x v="21"/>
    <s v="Singapore"/>
    <s v="Paints"/>
    <x v="10"/>
    <x v="1"/>
    <x v="0"/>
    <s v="Goh"/>
    <x v="100"/>
    <x v="97"/>
    <n v="1927"/>
    <n v="6"/>
    <n v="27"/>
    <n v="114.41"/>
    <n v="372062527489"/>
    <n v="83.1"/>
    <n v="13.1"/>
    <n v="21"/>
    <n v="5703569"/>
    <n v="99.26351813826146"/>
    <d v="2026-10-01T00:00:00"/>
    <d v="1927-06-27T00:00:00"/>
  </r>
  <r>
    <n v="124"/>
    <x v="6"/>
    <x v="116"/>
    <x v="3"/>
    <s v="Mumbai"/>
    <s v="Commodities"/>
    <x v="6"/>
    <x v="0"/>
    <x v="0"/>
    <s v="Birla"/>
    <x v="101"/>
    <x v="98"/>
    <n v="1967"/>
    <n v="6"/>
    <n v="14"/>
    <n v="180.44"/>
    <n v="2611000000000"/>
    <n v="69.400000000000006"/>
    <n v="11.2"/>
    <n v="49.7"/>
    <n v="1366417754"/>
    <n v="59.299110198494184"/>
    <d v="2026-10-01T00:00:00"/>
    <d v="1967-06-14T00:00:00"/>
  </r>
  <r>
    <n v="124"/>
    <x v="10"/>
    <x v="117"/>
    <x v="22"/>
    <s v="Lagos"/>
    <s v="Cement, sugar"/>
    <x v="10"/>
    <x v="1"/>
    <x v="0"/>
    <s v="Dangote"/>
    <x v="102"/>
    <x v="98"/>
    <n v="1957"/>
    <n v="4"/>
    <n v="10"/>
    <n v="267.51"/>
    <n v="448120428859"/>
    <n v="54.3"/>
    <n v="1.5"/>
    <n v="34.799999999999997"/>
    <n v="200963599"/>
    <n v="69.477060273008178"/>
    <d v="2026-10-01T00:00:00"/>
    <d v="1957-04-10T00:00:00"/>
  </r>
  <r>
    <n v="127"/>
    <x v="6"/>
    <x v="118"/>
    <x v="12"/>
    <s v="London"/>
    <s v="Shipping"/>
    <x v="6"/>
    <x v="0"/>
    <x v="0"/>
    <s v="Ofer"/>
    <x v="103"/>
    <x v="99"/>
    <n v="1955"/>
    <n v="10"/>
    <n v="2"/>
    <n v="119.62"/>
    <n v="2827113184696"/>
    <n v="81.3"/>
    <n v="25.5"/>
    <n v="30.6"/>
    <n v="66834405"/>
    <n v="70.997946611909654"/>
    <d v="2026-10-01T00:00:00"/>
    <d v="1955-10-02T00:00:00"/>
  </r>
  <r>
    <n v="128"/>
    <x v="13"/>
    <x v="119"/>
    <x v="5"/>
    <s v="Changsha"/>
    <s v="Hospitals"/>
    <x v="13"/>
    <x v="1"/>
    <x v="0"/>
    <s v="Chen"/>
    <x v="104"/>
    <x v="100"/>
    <n v="1965"/>
    <n v="9"/>
    <n v="1"/>
    <n v="125.08"/>
    <n v="19910000000000"/>
    <n v="77"/>
    <n v="9.4"/>
    <n v="59.2"/>
    <n v="1397715000"/>
    <n v="61.082799735040844"/>
    <d v="2026-10-01T00:00:00"/>
    <d v="1965-09-01T00:00:00"/>
  </r>
  <r>
    <n v="130"/>
    <x v="8"/>
    <x v="120"/>
    <x v="12"/>
    <s v="London"/>
    <s v="Shipping"/>
    <x v="8"/>
    <x v="1"/>
    <x v="0"/>
    <s v="Fredriksen"/>
    <x v="29"/>
    <x v="101"/>
    <n v="1945"/>
    <n v="2"/>
    <n v="1"/>
    <n v="119.62"/>
    <n v="2827113184696"/>
    <n v="81.3"/>
    <n v="25.5"/>
    <n v="30.6"/>
    <n v="66834405"/>
    <n v="81.663238731218698"/>
    <d v="2026-10-01T00:00:00"/>
    <d v="1945-02-01T00:00:00"/>
  </r>
  <r>
    <n v="130"/>
    <x v="16"/>
    <x v="121"/>
    <x v="1"/>
    <s v="Afton"/>
    <s v="Building supplies"/>
    <x v="16"/>
    <x v="1"/>
    <x v="1"/>
    <s v="Hendricks"/>
    <x v="105"/>
    <x v="101"/>
    <n v="1947"/>
    <n v="3"/>
    <n v="2"/>
    <n v="117.24"/>
    <n v="21427700000000"/>
    <n v="78.5"/>
    <n v="9.6"/>
    <n v="36.6"/>
    <n v="328239523"/>
    <n v="79.583846680355919"/>
    <d v="2026-10-01T00:00:00"/>
    <d v="1947-03-02T00:00:00"/>
  </r>
  <r>
    <n v="130"/>
    <x v="2"/>
    <x v="122"/>
    <x v="1"/>
    <s v="Atherton"/>
    <s v="WhatsApp"/>
    <x v="2"/>
    <x v="1"/>
    <x v="0"/>
    <s v="Koum"/>
    <x v="106"/>
    <x v="101"/>
    <n v="1976"/>
    <n v="2"/>
    <n v="24"/>
    <n v="117.24"/>
    <n v="21427700000000"/>
    <n v="78.5"/>
    <n v="9.6"/>
    <n v="36.6"/>
    <n v="328239523"/>
    <n v="50.600279149667166"/>
    <d v="2026-10-01T00:00:00"/>
    <d v="1976-02-24T00:00:00"/>
  </r>
  <r>
    <n v="133"/>
    <x v="17"/>
    <x v="123"/>
    <x v="1"/>
    <s v="Dallas"/>
    <s v="Dallas Cowboys"/>
    <x v="17"/>
    <x v="1"/>
    <x v="0"/>
    <s v="Jones"/>
    <x v="107"/>
    <x v="102"/>
    <n v="1942"/>
    <n v="10"/>
    <n v="13"/>
    <n v="117.24"/>
    <n v="21427700000000"/>
    <n v="78.5"/>
    <n v="9.6"/>
    <n v="36.6"/>
    <n v="328239523"/>
    <n v="83.967821941634995"/>
    <d v="2026-10-01T00:00:00"/>
    <d v="1942-10-13T00:00:00"/>
  </r>
  <r>
    <n v="133"/>
    <x v="12"/>
    <x v="124"/>
    <x v="1"/>
    <s v="Tulsa"/>
    <s v="Oil &amp; gas, banking"/>
    <x v="12"/>
    <x v="0"/>
    <x v="0"/>
    <s v="Kaiser"/>
    <x v="108"/>
    <x v="102"/>
    <n v="1942"/>
    <n v="7"/>
    <n v="29"/>
    <n v="117.24"/>
    <n v="21427700000000"/>
    <n v="78.5"/>
    <n v="9.6"/>
    <n v="36.6"/>
    <n v="328239523"/>
    <n v="84.17590027700831"/>
    <d v="2026-10-01T00:00:00"/>
    <d v="1942-07-29T00:00:00"/>
  </r>
  <r>
    <n v="136"/>
    <x v="1"/>
    <x v="125"/>
    <x v="5"/>
    <s v="Guangzhou"/>
    <s v="Automobiles, batteries"/>
    <x v="1"/>
    <x v="1"/>
    <x v="0"/>
    <s v="Lu"/>
    <x v="109"/>
    <x v="103"/>
    <n v="1962"/>
    <n v="12"/>
    <n v="28"/>
    <n v="125.08"/>
    <n v="19910000000000"/>
    <n v="77"/>
    <n v="9.4"/>
    <n v="59.2"/>
    <n v="1397715000"/>
    <n v="63.759740533254707"/>
    <d v="2026-10-01T00:00:00"/>
    <d v="1962-12-28T00:00:00"/>
  </r>
  <r>
    <n v="137"/>
    <x v="15"/>
    <x v="126"/>
    <x v="13"/>
    <s v="Sydney"/>
    <s v="Real estate"/>
    <x v="15"/>
    <x v="1"/>
    <x v="0"/>
    <s v="Triguboff"/>
    <x v="110"/>
    <x v="104"/>
    <n v="1933"/>
    <n v="3"/>
    <n v="3"/>
    <n v="119.8"/>
    <n v="1392680589329"/>
    <n v="82.7"/>
    <n v="23"/>
    <n v="47.4"/>
    <n v="25766605"/>
    <n v="93.581102729152704"/>
    <d v="2026-10-01T00:00:00"/>
    <d v="1933-03-03T00:00:00"/>
  </r>
  <r>
    <n v="138"/>
    <x v="3"/>
    <x v="127"/>
    <x v="3"/>
    <s v="Mumbai"/>
    <s v="Banking"/>
    <x v="3"/>
    <x v="1"/>
    <x v="0"/>
    <s v="Kotak"/>
    <x v="111"/>
    <x v="105"/>
    <n v="1959"/>
    <n v="3"/>
    <n v="15"/>
    <n v="180.44"/>
    <n v="2611000000000"/>
    <n v="69.400000000000006"/>
    <n v="11.2"/>
    <n v="49.7"/>
    <n v="1366417754"/>
    <n v="67.548254620123203"/>
    <d v="2026-10-01T00:00:00"/>
    <d v="1959-03-15T00:00:00"/>
  </r>
  <r>
    <n v="138"/>
    <x v="17"/>
    <x v="128"/>
    <x v="1"/>
    <s v="Electra"/>
    <s v="Sports, real estate"/>
    <x v="17"/>
    <x v="1"/>
    <x v="0"/>
    <s v="Kroenke"/>
    <x v="112"/>
    <x v="105"/>
    <n v="1947"/>
    <n v="7"/>
    <n v="29"/>
    <n v="117.24"/>
    <n v="21427700000000"/>
    <n v="78.5"/>
    <n v="9.6"/>
    <n v="36.6"/>
    <n v="328239523"/>
    <n v="79.175906913073234"/>
    <d v="2026-10-01T00:00:00"/>
    <d v="1947-07-29T00:00:00"/>
  </r>
  <r>
    <n v="140"/>
    <x v="12"/>
    <x v="129"/>
    <x v="12"/>
    <s v="London"/>
    <s v="Oil, banking, telecom"/>
    <x v="12"/>
    <x v="1"/>
    <x v="0"/>
    <s v="Fridman"/>
    <x v="113"/>
    <x v="106"/>
    <n v="1964"/>
    <n v="4"/>
    <n v="21"/>
    <n v="119.62"/>
    <n v="2827113184696"/>
    <n v="81.3"/>
    <n v="25.5"/>
    <n v="30.6"/>
    <n v="66834405"/>
    <n v="62.444222328451609"/>
    <d v="2026-10-01T00:00:00"/>
    <d v="1964-04-21T00:00:00"/>
  </r>
  <r>
    <n v="141"/>
    <x v="12"/>
    <x v="130"/>
    <x v="20"/>
    <s v="Bangkok"/>
    <s v="Energy"/>
    <x v="12"/>
    <x v="1"/>
    <x v="0"/>
    <s v="Ratanavadi"/>
    <x v="114"/>
    <x v="107"/>
    <n v="1965"/>
    <n v="7"/>
    <n v="12"/>
    <n v="113.27"/>
    <n v="543649976166"/>
    <n v="76.900000000000006"/>
    <n v="14.9"/>
    <n v="29.5"/>
    <n v="69625582"/>
    <n v="61.222433208213729"/>
    <d v="2026-10-01T00:00:00"/>
    <d v="1965-07-12T00:00:00"/>
  </r>
  <r>
    <n v="142"/>
    <x v="11"/>
    <x v="131"/>
    <x v="5"/>
    <s v="Yinchuan"/>
    <s v="Coal"/>
    <x v="11"/>
    <x v="1"/>
    <x v="0"/>
    <s v="Dang"/>
    <x v="115"/>
    <x v="108"/>
    <n v="1973"/>
    <n v="2"/>
    <n v="1"/>
    <n v="125.08"/>
    <n v="19910000000000"/>
    <n v="77"/>
    <n v="9.4"/>
    <n v="59.2"/>
    <n v="1397715000"/>
    <n v="53.663235816052321"/>
    <d v="2026-10-01T00:00:00"/>
    <d v="1973-02-01T00:00:00"/>
  </r>
  <r>
    <n v="142"/>
    <x v="13"/>
    <x v="132"/>
    <x v="5"/>
    <s v="Chongqing"/>
    <s v="Vaccines"/>
    <x v="13"/>
    <x v="1"/>
    <x v="0"/>
    <s v="Jiang"/>
    <x v="116"/>
    <x v="108"/>
    <n v="1953"/>
    <n v="10"/>
    <n v="8"/>
    <n v="125.08"/>
    <n v="19910000000000"/>
    <n v="77"/>
    <n v="9.4"/>
    <n v="59.2"/>
    <n v="1397715000"/>
    <n v="72.981500665976029"/>
    <d v="2026-10-01T00:00:00"/>
    <d v="1953-10-08T00:00:00"/>
  </r>
  <r>
    <n v="144"/>
    <x v="1"/>
    <x v="133"/>
    <x v="1"/>
    <s v="Naples"/>
    <s v="Auto parts"/>
    <x v="1"/>
    <x v="1"/>
    <x v="0"/>
    <s v="Khan"/>
    <x v="117"/>
    <x v="109"/>
    <n v="1950"/>
    <n v="7"/>
    <n v="18"/>
    <n v="117.24"/>
    <n v="21427700000000"/>
    <n v="78.5"/>
    <n v="9.6"/>
    <n v="36.6"/>
    <n v="328239523"/>
    <n v="76.20601621390982"/>
    <d v="2026-10-01T00:00:00"/>
    <d v="1950-07-18T00:00:00"/>
  </r>
  <r>
    <n v="145"/>
    <x v="2"/>
    <x v="134"/>
    <x v="1"/>
    <s v="Palo Alto"/>
    <s v="Apple, Disney"/>
    <x v="2"/>
    <x v="0"/>
    <x v="1"/>
    <s v="Powell Jobs"/>
    <x v="118"/>
    <x v="110"/>
    <n v="1963"/>
    <n v="11"/>
    <n v="6"/>
    <n v="117.24"/>
    <n v="21427700000000"/>
    <n v="78.5"/>
    <n v="9.6"/>
    <n v="36.6"/>
    <n v="328239523"/>
    <n v="62.902121834360024"/>
    <d v="2026-10-01T00:00:00"/>
    <d v="1963-11-06T00:00:00"/>
  </r>
  <r>
    <n v="147"/>
    <x v="15"/>
    <x v="135"/>
    <x v="1"/>
    <s v="New York"/>
    <s v="Real estate"/>
    <x v="15"/>
    <x v="1"/>
    <x v="0"/>
    <s v="Ross"/>
    <x v="42"/>
    <x v="111"/>
    <n v="1940"/>
    <n v="5"/>
    <n v="10"/>
    <n v="117.24"/>
    <n v="21427700000000"/>
    <n v="78.5"/>
    <n v="9.6"/>
    <n v="36.6"/>
    <n v="328239523"/>
    <n v="86.392201907039691"/>
    <d v="2026-10-01T00:00:00"/>
    <d v="1940-05-10T00:00:00"/>
  </r>
  <r>
    <n v="148"/>
    <x v="2"/>
    <x v="136"/>
    <x v="15"/>
    <s v="Dubai"/>
    <s v="Messaging app"/>
    <x v="2"/>
    <x v="1"/>
    <x v="0"/>
    <s v="Durov"/>
    <x v="119"/>
    <x v="112"/>
    <n v="1984"/>
    <n v="10"/>
    <n v="10"/>
    <n v="114.52"/>
    <n v="421142267938"/>
    <n v="77.8"/>
    <n v="0.1"/>
    <n v="15.9"/>
    <n v="9770529"/>
    <n v="41.973322297211254"/>
    <d v="2026-10-01T00:00:00"/>
    <d v="1984-10-10T00:00:00"/>
  </r>
  <r>
    <n v="148"/>
    <x v="13"/>
    <x v="137"/>
    <x v="7"/>
    <s v="Tegernsee"/>
    <s v="Pharmaceuticals"/>
    <x v="13"/>
    <x v="1"/>
    <x v="0"/>
    <s v="Struengmann"/>
    <x v="120"/>
    <x v="112"/>
    <n v="1950"/>
    <n v="2"/>
    <n v="16"/>
    <n v="112.85"/>
    <n v="3845630030824"/>
    <n v="80.900000000000006"/>
    <n v="11.5"/>
    <n v="48.8"/>
    <n v="83132799"/>
    <n v="76.622173232826057"/>
    <d v="2026-10-01T00:00:00"/>
    <d v="1950-02-16T00:00:00"/>
  </r>
  <r>
    <n v="148"/>
    <x v="13"/>
    <x v="138"/>
    <x v="7"/>
    <s v="Tegernsee"/>
    <s v="Pharmaceuticals"/>
    <x v="13"/>
    <x v="1"/>
    <x v="0"/>
    <s v="Struengmann"/>
    <x v="49"/>
    <x v="112"/>
    <n v="1950"/>
    <n v="2"/>
    <n v="16"/>
    <n v="112.85"/>
    <n v="3845630030824"/>
    <n v="80.900000000000006"/>
    <n v="11.5"/>
    <n v="48.8"/>
    <n v="83132799"/>
    <n v="76.622173232826057"/>
    <d v="2026-10-01T00:00:00"/>
    <d v="1950-02-16T00:00:00"/>
  </r>
  <r>
    <n v="151"/>
    <x v="7"/>
    <x v="139"/>
    <x v="5"/>
    <s v="Chengdu"/>
    <s v="Agribusiness"/>
    <x v="7"/>
    <x v="1"/>
    <x v="0"/>
    <s v="Liu"/>
    <x v="121"/>
    <x v="113"/>
    <n v="1964"/>
    <n v="1"/>
    <n v="1"/>
    <n v="125.08"/>
    <n v="19910000000000"/>
    <n v="77"/>
    <n v="9.4"/>
    <n v="59.2"/>
    <n v="1397715000"/>
    <n v="62.748120464125854"/>
    <d v="2026-10-01T00:00:00"/>
    <d v="1964-01-01T00:00:00"/>
  </r>
  <r>
    <n v="151"/>
    <x v="0"/>
    <x v="140"/>
    <x v="1"/>
    <s v="Bryn Mawr"/>
    <s v="Online retail"/>
    <x v="0"/>
    <x v="1"/>
    <x v="0"/>
    <s v="Rubin"/>
    <x v="6"/>
    <x v="113"/>
    <n v="1972"/>
    <n v="7"/>
    <n v="21"/>
    <n v="117.24"/>
    <n v="21427700000000"/>
    <n v="78.5"/>
    <n v="9.6"/>
    <n v="36.6"/>
    <n v="328239523"/>
    <n v="54.195081885609042"/>
    <d v="2026-10-01T00:00:00"/>
    <d v="1972-07-21T00:00:00"/>
  </r>
  <r>
    <n v="153"/>
    <x v="3"/>
    <x v="141"/>
    <x v="1"/>
    <s v="New York"/>
    <s v="Hedge funds"/>
    <x v="3"/>
    <x v="1"/>
    <x v="0"/>
    <s v="Englander"/>
    <x v="122"/>
    <x v="114"/>
    <n v="1948"/>
    <n v="9"/>
    <n v="30"/>
    <n v="117.24"/>
    <n v="21427700000000"/>
    <n v="78.5"/>
    <n v="9.6"/>
    <n v="36.6"/>
    <n v="328239523"/>
    <n v="78.00069312077629"/>
    <d v="2026-10-01T00:00:00"/>
    <d v="1948-09-30T00:00:00"/>
  </r>
  <r>
    <n v="153"/>
    <x v="10"/>
    <x v="142"/>
    <x v="23"/>
    <s v="Herzliya"/>
    <s v="Fertilizer, real estate"/>
    <x v="10"/>
    <x v="1"/>
    <x v="0"/>
    <s v="Kantor"/>
    <x v="123"/>
    <x v="114"/>
    <n v="1953"/>
    <n v="9"/>
    <n v="8"/>
    <n v="108.15"/>
    <n v="395098666122"/>
    <n v="82.8"/>
    <n v="23.1"/>
    <n v="25.3"/>
    <n v="9053300"/>
    <n v="73.063637709042482"/>
    <d v="2026-10-01T00:00:00"/>
    <d v="1953-09-08T00:00:00"/>
  </r>
  <r>
    <n v="153"/>
    <x v="10"/>
    <x v="143"/>
    <x v="13"/>
    <s v="Melbourne"/>
    <s v="Manufacturing"/>
    <x v="10"/>
    <x v="0"/>
    <x v="0"/>
    <s v="Pratt"/>
    <x v="124"/>
    <x v="114"/>
    <n v="1960"/>
    <n v="4"/>
    <n v="11"/>
    <n v="119.8"/>
    <n v="1392680589329"/>
    <n v="82.7"/>
    <n v="23"/>
    <n v="47.4"/>
    <n v="25766605"/>
    <n v="66.471600196142532"/>
    <d v="2026-10-01T00:00:00"/>
    <d v="1960-04-11T00:00:00"/>
  </r>
  <r>
    <n v="153"/>
    <x v="3"/>
    <x v="144"/>
    <x v="8"/>
    <s v="Frauenfeld"/>
    <s v="Investments"/>
    <x v="3"/>
    <x v="1"/>
    <x v="0"/>
    <s v="Prokhorov"/>
    <x v="113"/>
    <x v="114"/>
    <n v="1965"/>
    <n v="5"/>
    <n v="3"/>
    <n v="99.55"/>
    <n v="703082435360"/>
    <n v="83.6"/>
    <n v="10.1"/>
    <n v="28.8"/>
    <n v="8574832"/>
    <n v="61.414086994921618"/>
    <d v="2026-10-01T00:00:00"/>
    <d v="1965-05-03T00:00:00"/>
  </r>
  <r>
    <n v="157"/>
    <x v="0"/>
    <x v="145"/>
    <x v="24"/>
    <s v="Milan"/>
    <s v="Luxury goods"/>
    <x v="0"/>
    <x v="1"/>
    <x v="0"/>
    <s v="Armani"/>
    <x v="125"/>
    <x v="115"/>
    <n v="1934"/>
    <n v="7"/>
    <n v="11"/>
    <n v="110.62"/>
    <n v="2001244392042"/>
    <n v="82.9"/>
    <n v="24.3"/>
    <n v="59.1"/>
    <n v="60297396"/>
    <n v="92.225182524729149"/>
    <d v="2026-10-01T00:00:00"/>
    <d v="1934-07-11T00:00:00"/>
  </r>
  <r>
    <n v="157"/>
    <x v="0"/>
    <x v="146"/>
    <x v="25"/>
    <s v="Cape Town"/>
    <s v="Luxury goods"/>
    <x v="0"/>
    <x v="0"/>
    <x v="0"/>
    <s v="Rupert"/>
    <x v="126"/>
    <x v="115"/>
    <n v="1950"/>
    <n v="6"/>
    <n v="1"/>
    <n v="158.93"/>
    <n v="351431649241"/>
    <n v="63.9"/>
    <n v="27.5"/>
    <n v="29.2"/>
    <n v="58558270"/>
    <n v="76.334696344758925"/>
    <d v="2026-10-01T00:00:00"/>
    <d v="1950-06-01T00:00:00"/>
  </r>
  <r>
    <n v="159"/>
    <x v="2"/>
    <x v="147"/>
    <x v="5"/>
    <s v="Shenzhen"/>
    <s v="Internet media"/>
    <x v="2"/>
    <x v="1"/>
    <x v="0"/>
    <s v="Zhang"/>
    <x v="127"/>
    <x v="116"/>
    <n v="1972"/>
    <n v="1"/>
    <n v="1"/>
    <n v="125.08"/>
    <n v="19910000000000"/>
    <n v="77"/>
    <n v="9.4"/>
    <n v="59.2"/>
    <n v="1397715000"/>
    <n v="54.748120862163375"/>
    <d v="2026-10-01T00:00:00"/>
    <d v="1972-01-01T00:00:00"/>
  </r>
  <r>
    <n v="161"/>
    <x v="3"/>
    <x v="148"/>
    <x v="1"/>
    <s v="Denver"/>
    <s v="Energy, sports, entertainment"/>
    <x v="3"/>
    <x v="0"/>
    <x v="0"/>
    <s v="Anschutz"/>
    <x v="128"/>
    <x v="117"/>
    <n v="1939"/>
    <n v="12"/>
    <n v="28"/>
    <n v="117.24"/>
    <n v="21427700000000"/>
    <n v="78.5"/>
    <n v="9.6"/>
    <n v="36.6"/>
    <n v="328239523"/>
    <n v="86.759753593429153"/>
    <d v="2026-10-01T00:00:00"/>
    <d v="1939-12-28T00:00:00"/>
  </r>
  <r>
    <n v="161"/>
    <x v="0"/>
    <x v="149"/>
    <x v="1"/>
    <s v="Oklahoma City"/>
    <s v="Gas stations"/>
    <x v="0"/>
    <x v="1"/>
    <x v="1"/>
    <s v="Love"/>
    <x v="129"/>
    <x v="117"/>
    <n v="1937"/>
    <n v="6"/>
    <n v="17"/>
    <n v="117.24"/>
    <n v="21427700000000"/>
    <n v="78.5"/>
    <n v="9.6"/>
    <n v="36.6"/>
    <n v="328239523"/>
    <n v="89.290885860306645"/>
    <d v="2026-10-01T00:00:00"/>
    <d v="1937-06-17T00:00:00"/>
  </r>
  <r>
    <n v="161"/>
    <x v="0"/>
    <x v="150"/>
    <x v="2"/>
    <s v="Mexico City"/>
    <s v="Retail, media"/>
    <x v="0"/>
    <x v="0"/>
    <x v="0"/>
    <s v="Salinas Pliego"/>
    <x v="130"/>
    <x v="117"/>
    <n v="1955"/>
    <n v="10"/>
    <n v="19"/>
    <n v="141.54"/>
    <n v="1258286717125"/>
    <n v="75"/>
    <n v="13.1"/>
    <n v="55.1"/>
    <n v="126014024"/>
    <n v="70.951403148528399"/>
    <d v="2026-10-01T00:00:00"/>
    <d v="1955-10-19T00:00:00"/>
  </r>
  <r>
    <n v="164"/>
    <x v="4"/>
    <x v="151"/>
    <x v="1"/>
    <s v="New York"/>
    <s v="Media"/>
    <x v="4"/>
    <x v="0"/>
    <x v="0"/>
    <s v="Newhouse"/>
    <x v="83"/>
    <x v="118"/>
    <n v="1929"/>
    <n v="8"/>
    <n v="5"/>
    <n v="117.24"/>
    <n v="21427700000000"/>
    <n v="78.5"/>
    <n v="9.6"/>
    <n v="36.6"/>
    <n v="328239523"/>
    <n v="97.156730178242157"/>
    <d v="2026-10-01T00:00:00"/>
    <d v="1929-08-05T00:00:00"/>
  </r>
  <r>
    <n v="165"/>
    <x v="17"/>
    <x v="152"/>
    <x v="1"/>
    <s v="Brookline"/>
    <s v="Manufacturing, New England Patriots"/>
    <x v="17"/>
    <x v="1"/>
    <x v="0"/>
    <s v="Kraft"/>
    <x v="92"/>
    <x v="119"/>
    <n v="1941"/>
    <n v="6"/>
    <n v="5"/>
    <n v="117.24"/>
    <n v="21427700000000"/>
    <n v="78.5"/>
    <n v="9.6"/>
    <n v="36.6"/>
    <n v="328239523"/>
    <n v="85.323740091050908"/>
    <d v="2026-10-01T00:00:00"/>
    <d v="1941-06-05T00:00:00"/>
  </r>
  <r>
    <n v="165"/>
    <x v="7"/>
    <x v="153"/>
    <x v="26"/>
    <s v="Sao Paulo"/>
    <s v="Beer"/>
    <x v="7"/>
    <x v="1"/>
    <x v="0"/>
    <s v="Telles"/>
    <x v="131"/>
    <x v="119"/>
    <n v="1950"/>
    <n v="1"/>
    <n v="1"/>
    <n v="167.4"/>
    <n v="1839758040766"/>
    <n v="75.7"/>
    <n v="14.2"/>
    <n v="65.099999999999994"/>
    <n v="212559417"/>
    <n v="76.748115488550695"/>
    <d v="2026-10-01T00:00:00"/>
    <d v="1950-01-01T00:00:00"/>
  </r>
  <r>
    <n v="167"/>
    <x v="3"/>
    <x v="154"/>
    <x v="16"/>
    <s v="Moscow"/>
    <s v="Gold"/>
    <x v="3"/>
    <x v="1"/>
    <x v="0"/>
    <s v="Kerimov &amp; family"/>
    <x v="132"/>
    <x v="120"/>
    <n v="1966"/>
    <n v="3"/>
    <n v="12"/>
    <n v="180.75"/>
    <n v="1699876578871"/>
    <n v="72.7"/>
    <n v="11.4"/>
    <n v="46.2"/>
    <n v="144373535"/>
    <n v="60.556463195691201"/>
    <d v="2026-10-01T00:00:00"/>
    <d v="1966-03-12T00:00:00"/>
  </r>
  <r>
    <n v="167"/>
    <x v="0"/>
    <x v="155"/>
    <x v="5"/>
    <s v="Guangzhou"/>
    <s v="E-commerce"/>
    <x v="0"/>
    <x v="1"/>
    <x v="0"/>
    <s v="Xu"/>
    <x v="133"/>
    <x v="120"/>
    <n v="1984"/>
    <n v="1"/>
    <n v="1"/>
    <n v="125.08"/>
    <n v="19910000000000"/>
    <n v="77"/>
    <n v="9.4"/>
    <n v="59.2"/>
    <n v="1397715000"/>
    <n v="42.748121736915827"/>
    <d v="2026-10-01T00:00:00"/>
    <d v="1984-01-01T00:00:00"/>
  </r>
  <r>
    <n v="167"/>
    <x v="3"/>
    <x v="156"/>
    <x v="15"/>
    <s v="Dubai"/>
    <s v="Cryptocurrency exchange"/>
    <x v="3"/>
    <x v="1"/>
    <x v="0"/>
    <s v="Zhao"/>
    <x v="134"/>
    <x v="120"/>
    <n v="1977"/>
    <n v="9"/>
    <n v="10"/>
    <n v="114.52"/>
    <n v="421142267938"/>
    <n v="77.8"/>
    <n v="0.1"/>
    <n v="15.9"/>
    <n v="9770529"/>
    <n v="49.058153542875914"/>
    <d v="2026-10-01T00:00:00"/>
    <d v="1977-09-10T00:00:00"/>
  </r>
  <r>
    <n v="170"/>
    <x v="3"/>
    <x v="157"/>
    <x v="1"/>
    <s v="Dallas"/>
    <s v="Banks, real estate"/>
    <x v="3"/>
    <x v="1"/>
    <x v="0"/>
    <s v="Beal"/>
    <x v="71"/>
    <x v="121"/>
    <n v="1952"/>
    <n v="11"/>
    <n v="29"/>
    <n v="117.24"/>
    <n v="21427700000000"/>
    <n v="78.5"/>
    <n v="9.6"/>
    <n v="36.6"/>
    <n v="328239523"/>
    <n v="73.836424034460094"/>
    <d v="2026-10-01T00:00:00"/>
    <d v="1952-11-29T00:00:00"/>
  </r>
  <r>
    <n v="171"/>
    <x v="2"/>
    <x v="158"/>
    <x v="13"/>
    <s v="Sydney"/>
    <s v="Software"/>
    <x v="2"/>
    <x v="1"/>
    <x v="0"/>
    <s v="Cannon-Brookes"/>
    <x v="135"/>
    <x v="122"/>
    <n v="1979"/>
    <n v="11"/>
    <n v="17"/>
    <n v="119.8"/>
    <n v="1392680589329"/>
    <n v="82.7"/>
    <n v="23"/>
    <n v="47.4"/>
    <n v="25766605"/>
    <n v="46.872005475701577"/>
    <d v="2026-10-01T00:00:00"/>
    <d v="1979-11-17T00:00:00"/>
  </r>
  <r>
    <n v="171"/>
    <x v="13"/>
    <x v="159"/>
    <x v="1"/>
    <s v="Bloomington"/>
    <s v="Medical devices"/>
    <x v="13"/>
    <x v="0"/>
    <x v="0"/>
    <s v="Cook"/>
    <x v="81"/>
    <x v="122"/>
    <n v="1962"/>
    <n v="8"/>
    <n v="19"/>
    <n v="117.24"/>
    <n v="21427700000000"/>
    <n v="78.5"/>
    <n v="9.6"/>
    <n v="36.6"/>
    <n v="328239523"/>
    <n v="64.118402763152346"/>
    <d v="2026-10-01T00:00:00"/>
    <d v="1962-08-19T00:00:00"/>
  </r>
  <r>
    <n v="171"/>
    <x v="2"/>
    <x v="160"/>
    <x v="1"/>
    <s v="Incline Village"/>
    <s v="Business software"/>
    <x v="2"/>
    <x v="1"/>
    <x v="0"/>
    <s v="Duffield"/>
    <x v="20"/>
    <x v="122"/>
    <n v="1940"/>
    <n v="9"/>
    <n v="21"/>
    <n v="117.24"/>
    <n v="21427700000000"/>
    <n v="78.5"/>
    <n v="9.6"/>
    <n v="36.6"/>
    <n v="328239523"/>
    <n v="86.025332787865437"/>
    <d v="2026-10-01T00:00:00"/>
    <d v="1940-09-21T00:00:00"/>
  </r>
  <r>
    <n v="171"/>
    <x v="12"/>
    <x v="161"/>
    <x v="1"/>
    <s v="Houston"/>
    <s v="Oil"/>
    <x v="12"/>
    <x v="1"/>
    <x v="0"/>
    <s v="Hildebrand"/>
    <x v="136"/>
    <x v="122"/>
    <n v="1959"/>
    <n v="3"/>
    <n v="5"/>
    <n v="117.24"/>
    <n v="21427700000000"/>
    <n v="78.5"/>
    <n v="9.6"/>
    <n v="36.6"/>
    <n v="328239523"/>
    <n v="67.575633127994521"/>
    <d v="2026-10-01T00:00:00"/>
    <d v="1959-03-05T00:00:00"/>
  </r>
  <r>
    <n v="171"/>
    <x v="10"/>
    <x v="162"/>
    <x v="16"/>
    <s v="Magnitogorsk"/>
    <s v="Steel"/>
    <x v="10"/>
    <x v="1"/>
    <x v="0"/>
    <s v="Rashnikov"/>
    <x v="137"/>
    <x v="122"/>
    <n v="1948"/>
    <n v="10"/>
    <n v="13"/>
    <n v="180.75"/>
    <n v="1699876578871"/>
    <n v="72.7"/>
    <n v="11.4"/>
    <n v="46.2"/>
    <n v="144373535"/>
    <n v="77.965101368913537"/>
    <d v="2026-10-01T00:00:00"/>
    <d v="1948-10-13T00:00:00"/>
  </r>
  <r>
    <n v="171"/>
    <x v="2"/>
    <x v="163"/>
    <x v="21"/>
    <s v="Singapore"/>
    <s v="Facebook"/>
    <x v="2"/>
    <x v="1"/>
    <x v="0"/>
    <s v="Saverin"/>
    <x v="138"/>
    <x v="122"/>
    <n v="1982"/>
    <n v="3"/>
    <n v="19"/>
    <n v="114.41"/>
    <n v="372062527489"/>
    <n v="83.1"/>
    <n v="13.1"/>
    <n v="21"/>
    <n v="5703569"/>
    <n v="44.537296179119004"/>
    <d v="2026-10-01T00:00:00"/>
    <d v="1982-03-19T00:00:00"/>
  </r>
  <r>
    <n v="171"/>
    <x v="1"/>
    <x v="164"/>
    <x v="7"/>
    <s v="Herzogenaurach"/>
    <s v="Auto parts"/>
    <x v="1"/>
    <x v="0"/>
    <x v="0"/>
    <s v="Schaeffler"/>
    <x v="139"/>
    <x v="122"/>
    <n v="1964"/>
    <n v="10"/>
    <n v="19"/>
    <n v="112.85"/>
    <n v="3845630030824"/>
    <n v="80.900000000000006"/>
    <n v="11.5"/>
    <n v="48.8"/>
    <n v="83132799"/>
    <n v="61.948676719829649"/>
    <d v="2026-10-01T00:00:00"/>
    <d v="1964-10-19T00:00:00"/>
  </r>
  <r>
    <n v="171"/>
    <x v="0"/>
    <x v="165"/>
    <x v="1"/>
    <s v="Jackson"/>
    <s v="Walmart"/>
    <x v="0"/>
    <x v="0"/>
    <x v="1"/>
    <s v="Walton"/>
    <x v="140"/>
    <x v="122"/>
    <n v="1949"/>
    <n v="2"/>
    <n v="8"/>
    <n v="117.24"/>
    <n v="21427700000000"/>
    <n v="78.5"/>
    <n v="9.6"/>
    <n v="36.6"/>
    <n v="328239523"/>
    <n v="77.644073151040757"/>
    <d v="2026-10-01T00:00:00"/>
    <d v="1949-02-08T00:00:00"/>
  </r>
  <r>
    <n v="179"/>
    <x v="2"/>
    <x v="166"/>
    <x v="13"/>
    <s v="Sydney"/>
    <s v="Software"/>
    <x v="2"/>
    <x v="1"/>
    <x v="0"/>
    <s v="Farquhar"/>
    <x v="141"/>
    <x v="123"/>
    <n v="1979"/>
    <n v="12"/>
    <n v="17"/>
    <n v="119.8"/>
    <n v="1392680589329"/>
    <n v="82.7"/>
    <n v="23"/>
    <n v="47.4"/>
    <n v="25766605"/>
    <n v="46.789869952087614"/>
    <d v="2026-10-01T00:00:00"/>
    <d v="1979-12-17T00:00:00"/>
  </r>
  <r>
    <n v="179"/>
    <x v="6"/>
    <x v="167"/>
    <x v="27"/>
    <s v="Kuala Lumpur"/>
    <s v="Banking, property"/>
    <x v="6"/>
    <x v="0"/>
    <x v="0"/>
    <s v="Quek"/>
    <x v="142"/>
    <x v="123"/>
    <n v="1941"/>
    <n v="8"/>
    <n v="12"/>
    <n v="121.46"/>
    <n v="364701517788"/>
    <n v="76"/>
    <n v="12"/>
    <n v="38.700000000000003"/>
    <n v="32447385"/>
    <n v="85.137563274012294"/>
    <d v="2026-10-01T00:00:00"/>
    <d v="1941-08-12T00:00:00"/>
  </r>
  <r>
    <n v="179"/>
    <x v="15"/>
    <x v="168"/>
    <x v="5"/>
    <s v="Beijing"/>
    <s v="Real estate"/>
    <x v="15"/>
    <x v="1"/>
    <x v="1"/>
    <s v="Wu"/>
    <x v="143"/>
    <x v="123"/>
    <n v="1964"/>
    <n v="1"/>
    <n v="1"/>
    <n v="125.08"/>
    <n v="19910000000000"/>
    <n v="77"/>
    <n v="9.4"/>
    <n v="59.2"/>
    <n v="1397715000"/>
    <n v="62.748120464125854"/>
    <d v="2026-10-01T00:00:00"/>
    <d v="1964-01-01T00:00:00"/>
  </r>
  <r>
    <n v="182"/>
    <x v="12"/>
    <x v="169"/>
    <x v="1"/>
    <s v="Midland"/>
    <s v="Oil"/>
    <x v="12"/>
    <x v="1"/>
    <x v="0"/>
    <s v="Stephens"/>
    <x v="144"/>
    <x v="124"/>
    <n v="1938"/>
    <n v="3"/>
    <n v="8"/>
    <n v="117.24"/>
    <n v="21427700000000"/>
    <n v="78.5"/>
    <n v="9.6"/>
    <n v="36.6"/>
    <n v="328239523"/>
    <n v="88.567416248807959"/>
    <d v="2026-10-01T00:00:00"/>
    <d v="1938-03-08T00:00:00"/>
  </r>
  <r>
    <n v="183"/>
    <x v="14"/>
    <x v="170"/>
    <x v="5"/>
    <s v="Shanghai"/>
    <s v="Diversified"/>
    <x v="14"/>
    <x v="1"/>
    <x v="0"/>
    <s v="Liu"/>
    <x v="145"/>
    <x v="125"/>
    <n v="1948"/>
    <n v="6"/>
    <n v="1"/>
    <n v="125.08"/>
    <n v="19910000000000"/>
    <n v="77"/>
    <n v="9.4"/>
    <n v="59.2"/>
    <n v="1397715000"/>
    <n v="78.331970195806619"/>
    <d v="2026-10-01T00:00:00"/>
    <d v="1948-06-01T00:00:00"/>
  </r>
  <r>
    <n v="184"/>
    <x v="6"/>
    <x v="171"/>
    <x v="15"/>
    <s v="Dubai"/>
    <s v="Infrastructure, commodities"/>
    <x v="6"/>
    <x v="1"/>
    <x v="0"/>
    <s v="Adani"/>
    <x v="146"/>
    <x v="126"/>
    <n v="1949"/>
    <n v="1"/>
    <n v="10"/>
    <n v="114.52"/>
    <n v="421142267938"/>
    <n v="77.8"/>
    <n v="0.1"/>
    <n v="15.9"/>
    <n v="9770529"/>
    <n v="77.723472217347052"/>
    <d v="2026-10-01T00:00:00"/>
    <d v="1949-01-10T00:00:00"/>
  </r>
  <r>
    <n v="184"/>
    <x v="0"/>
    <x v="172"/>
    <x v="8"/>
    <s v="Martigny"/>
    <s v="Hermes"/>
    <x v="0"/>
    <x v="0"/>
    <x v="0"/>
    <s v="Puech"/>
    <x v="147"/>
    <x v="126"/>
    <n v="1943"/>
    <n v="1"/>
    <n v="29"/>
    <n v="99.55"/>
    <n v="703082435360"/>
    <n v="83.6"/>
    <n v="10.1"/>
    <n v="28.8"/>
    <n v="8574832"/>
    <n v="83.671457905544145"/>
    <d v="2026-10-01T00:00:00"/>
    <d v="1943-01-29T00:00:00"/>
  </r>
  <r>
    <n v="184"/>
    <x v="8"/>
    <x v="173"/>
    <x v="0"/>
    <s v="Marseille"/>
    <s v="Shipping"/>
    <x v="8"/>
    <x v="0"/>
    <x v="0"/>
    <s v="Saadé"/>
    <x v="148"/>
    <x v="126"/>
    <n v="1971"/>
    <n v="8"/>
    <n v="10"/>
    <n v="110.05"/>
    <n v="2715518274227"/>
    <n v="82.5"/>
    <n v="24.2"/>
    <n v="60.7"/>
    <n v="67059887"/>
    <n v="55.143052703627653"/>
    <d v="2026-10-01T00:00:00"/>
    <d v="1971-08-10T00:00:00"/>
  </r>
  <r>
    <n v="184"/>
    <x v="8"/>
    <x v="174"/>
    <x v="0"/>
    <s v="Marseille"/>
    <s v="Shipping"/>
    <x v="8"/>
    <x v="0"/>
    <x v="0"/>
    <s v="Saadé"/>
    <x v="149"/>
    <x v="126"/>
    <n v="1970"/>
    <n v="3"/>
    <n v="3"/>
    <n v="110.05"/>
    <n v="2715518274227"/>
    <n v="82.5"/>
    <n v="24.2"/>
    <n v="60.7"/>
    <n v="67059887"/>
    <n v="56.581103799413995"/>
    <d v="2026-10-01T00:00:00"/>
    <d v="1970-03-03T00:00:00"/>
  </r>
  <r>
    <n v="184"/>
    <x v="8"/>
    <x v="175"/>
    <x v="0"/>
    <s v="Marseille"/>
    <s v="Shipping"/>
    <x v="8"/>
    <x v="0"/>
    <x v="1"/>
    <s v="Saadé Zeenny"/>
    <x v="150"/>
    <x v="126"/>
    <n v="1968"/>
    <n v="2"/>
    <n v="1"/>
    <n v="110.05"/>
    <n v="2715518274227"/>
    <n v="82.5"/>
    <n v="24.2"/>
    <n v="60.7"/>
    <n v="67059887"/>
    <n v="58.663248259860794"/>
    <d v="2026-10-01T00:00:00"/>
    <d v="1968-02-01T00:00:00"/>
  </r>
  <r>
    <n v="184"/>
    <x v="3"/>
    <x v="176"/>
    <x v="19"/>
    <s v="Stockholm"/>
    <s v="Investments"/>
    <x v="3"/>
    <x v="1"/>
    <x v="0"/>
    <s v="Schorling"/>
    <x v="151"/>
    <x v="126"/>
    <n v="1947"/>
    <n v="5"/>
    <n v="15"/>
    <n v="110.51"/>
    <n v="530832908738"/>
    <n v="82.5"/>
    <n v="27.9"/>
    <n v="49.1"/>
    <n v="10285453"/>
    <n v="79.381245722108147"/>
    <d v="2026-10-01T00:00:00"/>
    <d v="1947-05-15T00:00:00"/>
  </r>
  <r>
    <n v="190"/>
    <x v="10"/>
    <x v="177"/>
    <x v="16"/>
    <s v="Moscow"/>
    <s v="Fertilizers"/>
    <x v="10"/>
    <x v="1"/>
    <x v="0"/>
    <s v="Guriev &amp; family"/>
    <x v="152"/>
    <x v="127"/>
    <n v="1960"/>
    <n v="3"/>
    <n v="24"/>
    <n v="180.75"/>
    <n v="1699876578871"/>
    <n v="72.7"/>
    <n v="11.4"/>
    <n v="46.2"/>
    <n v="144373535"/>
    <n v="66.520881006864997"/>
    <d v="2026-10-01T00:00:00"/>
    <d v="1960-03-24T00:00:00"/>
  </r>
  <r>
    <n v="190"/>
    <x v="3"/>
    <x v="178"/>
    <x v="28"/>
    <s v="Seoul"/>
    <s v="Private equity"/>
    <x v="3"/>
    <x v="1"/>
    <x v="0"/>
    <s v="Kim"/>
    <x v="6"/>
    <x v="127"/>
    <n v="1963"/>
    <n v="10"/>
    <n v="1"/>
    <n v="115.16"/>
    <n v="2029000000000"/>
    <n v="82.6"/>
    <n v="15.6"/>
    <n v="33.200000000000003"/>
    <n v="51709098"/>
    <n v="63.000684462696782"/>
    <d v="2026-10-01T00:00:00"/>
    <d v="1963-10-01T00:00:00"/>
  </r>
  <r>
    <n v="190"/>
    <x v="2"/>
    <x v="179"/>
    <x v="5"/>
    <s v="Beijing"/>
    <s v="Smartphones"/>
    <x v="2"/>
    <x v="1"/>
    <x v="0"/>
    <s v="Lei"/>
    <x v="153"/>
    <x v="127"/>
    <n v="1969"/>
    <n v="12"/>
    <n v="16"/>
    <n v="125.08"/>
    <n v="19910000000000"/>
    <n v="77"/>
    <n v="9.4"/>
    <n v="59.2"/>
    <n v="1397715000"/>
    <n v="56.792579305135952"/>
    <d v="2026-10-01T00:00:00"/>
    <d v="1969-12-16T00:00:00"/>
  </r>
  <r>
    <n v="190"/>
    <x v="10"/>
    <x v="180"/>
    <x v="7"/>
    <s v="Haiger"/>
    <s v="Manufacturing"/>
    <x v="10"/>
    <x v="0"/>
    <x v="0"/>
    <s v="Loh"/>
    <x v="154"/>
    <x v="127"/>
    <n v="1946"/>
    <n v="8"/>
    <n v="15"/>
    <n v="112.85"/>
    <n v="3845630030824"/>
    <n v="80.900000000000006"/>
    <n v="11.5"/>
    <n v="48.8"/>
    <n v="83132799"/>
    <n v="80.129356092614501"/>
    <d v="2026-10-01T00:00:00"/>
    <d v="1946-08-15T00:00:00"/>
  </r>
  <r>
    <n v="190"/>
    <x v="13"/>
    <x v="181"/>
    <x v="5"/>
    <s v="Lianyungang"/>
    <s v="Pharmaceuticals"/>
    <x v="13"/>
    <x v="1"/>
    <x v="0"/>
    <s v="Sun"/>
    <x v="155"/>
    <x v="127"/>
    <n v="1958"/>
    <n v="9"/>
    <n v="1"/>
    <n v="125.08"/>
    <n v="19910000000000"/>
    <n v="77"/>
    <n v="9.4"/>
    <n v="59.2"/>
    <n v="1397715000"/>
    <n v="68.082810888024767"/>
    <d v="2026-10-01T00:00:00"/>
    <d v="1958-09-01T00:00:00"/>
  </r>
  <r>
    <n v="195"/>
    <x v="2"/>
    <x v="182"/>
    <x v="1"/>
    <s v="Keene"/>
    <s v="Warehouse automation"/>
    <x v="2"/>
    <x v="0"/>
    <x v="0"/>
    <s v="Cohen"/>
    <x v="156"/>
    <x v="128"/>
    <n v="1952"/>
    <n v="7"/>
    <n v="25"/>
    <n v="117.24"/>
    <n v="21427700000000"/>
    <n v="78.5"/>
    <n v="9.6"/>
    <n v="36.6"/>
    <n v="328239523"/>
    <n v="74.184127911221438"/>
    <d v="2026-10-01T00:00:00"/>
    <d v="1952-07-25T00:00:00"/>
  </r>
  <r>
    <n v="195"/>
    <x v="12"/>
    <x v="183"/>
    <x v="5"/>
    <s v="Xingtai"/>
    <s v="Solar panels"/>
    <x v="12"/>
    <x v="1"/>
    <x v="0"/>
    <s v="Jin"/>
    <x v="157"/>
    <x v="128"/>
    <n v="1952"/>
    <n v="9"/>
    <n v="1"/>
    <n v="125.08"/>
    <n v="19910000000000"/>
    <n v="77"/>
    <n v="9.4"/>
    <n v="59.2"/>
    <n v="1397715000"/>
    <n v="74.080090530773163"/>
    <d v="2026-10-01T00:00:00"/>
    <d v="1952-09-01T00:00:00"/>
  </r>
  <r>
    <n v="195"/>
    <x v="10"/>
    <x v="184"/>
    <x v="5"/>
    <s v="Ningbo"/>
    <s v="Chemicals"/>
    <x v="10"/>
    <x v="1"/>
    <x v="0"/>
    <s v="Luo"/>
    <x v="158"/>
    <x v="128"/>
    <n v="1956"/>
    <n v="3"/>
    <n v="1"/>
    <n v="125.08"/>
    <n v="19910000000000"/>
    <n v="77"/>
    <n v="9.4"/>
    <n v="59.2"/>
    <n v="1397715000"/>
    <n v="70.583850692168284"/>
    <d v="2026-10-01T00:00:00"/>
    <d v="1956-03-01T00:00:00"/>
  </r>
  <r>
    <n v="195"/>
    <x v="7"/>
    <x v="185"/>
    <x v="1"/>
    <s v="Los Angeles"/>
    <s v="Candy, pet food"/>
    <x v="7"/>
    <x v="0"/>
    <x v="1"/>
    <s v="Mars"/>
    <x v="159"/>
    <x v="128"/>
    <n v="1964"/>
    <n v="7"/>
    <n v="28"/>
    <n v="117.24"/>
    <n v="21427700000000"/>
    <n v="78.5"/>
    <n v="9.6"/>
    <n v="36.6"/>
    <n v="328239523"/>
    <n v="62.1759158663248"/>
    <d v="2026-10-01T00:00:00"/>
    <d v="1964-07-28T00:00:00"/>
  </r>
  <r>
    <n v="195"/>
    <x v="7"/>
    <x v="186"/>
    <x v="1"/>
    <s v="Alexandria"/>
    <s v="Candy, pet food"/>
    <x v="7"/>
    <x v="0"/>
    <x v="1"/>
    <s v="Mars"/>
    <x v="160"/>
    <x v="128"/>
    <n v="1960"/>
    <n v="8"/>
    <n v="1"/>
    <n v="117.24"/>
    <n v="21427700000000"/>
    <n v="78.5"/>
    <n v="9.6"/>
    <n v="36.6"/>
    <n v="328239523"/>
    <n v="66.16496404053612"/>
    <d v="2026-10-01T00:00:00"/>
    <d v="1960-08-01T00:00:00"/>
  </r>
  <r>
    <n v="195"/>
    <x v="7"/>
    <x v="187"/>
    <x v="1"/>
    <s v="New York"/>
    <s v="Candy, pet food"/>
    <x v="7"/>
    <x v="0"/>
    <x v="1"/>
    <s v="Mars"/>
    <x v="161"/>
    <x v="128"/>
    <n v="1959"/>
    <n v="1"/>
    <n v="26"/>
    <n v="117.24"/>
    <n v="21427700000000"/>
    <n v="78.5"/>
    <n v="9.6"/>
    <n v="36.6"/>
    <n v="328239523"/>
    <n v="67.679671457905542"/>
    <d v="2026-10-01T00:00:00"/>
    <d v="1959-01-26T00:00:00"/>
  </r>
  <r>
    <n v="195"/>
    <x v="7"/>
    <x v="188"/>
    <x v="1"/>
    <s v="Philadelphia"/>
    <s v="Candy, pet food"/>
    <x v="7"/>
    <x v="0"/>
    <x v="1"/>
    <s v="Mars"/>
    <x v="162"/>
    <x v="128"/>
    <n v="1956"/>
    <n v="12"/>
    <n v="15"/>
    <n v="117.24"/>
    <n v="21427700000000"/>
    <n v="78.5"/>
    <n v="9.6"/>
    <n v="36.6"/>
    <n v="328239523"/>
    <n v="69.79261944240929"/>
    <d v="2026-10-01T00:00:00"/>
    <d v="1956-12-15T00:00:00"/>
  </r>
  <r>
    <n v="202"/>
    <x v="3"/>
    <x v="189"/>
    <x v="0"/>
    <s v="Paris"/>
    <s v="Investments"/>
    <x v="3"/>
    <x v="0"/>
    <x v="0"/>
    <s v="Bolloré"/>
    <x v="163"/>
    <x v="129"/>
    <n v="1952"/>
    <n v="4"/>
    <n v="1"/>
    <n v="110.05"/>
    <n v="2715518274227"/>
    <n v="82.5"/>
    <n v="24.2"/>
    <n v="60.7"/>
    <n v="67059887"/>
    <n v="74.498977878367526"/>
    <d v="2026-10-01T00:00:00"/>
    <d v="1952-04-01T00:00:00"/>
  </r>
  <r>
    <n v="202"/>
    <x v="6"/>
    <x v="190"/>
    <x v="6"/>
    <s v="Vancouver"/>
    <s v="Diversified"/>
    <x v="6"/>
    <x v="1"/>
    <x v="0"/>
    <s v="Pattison"/>
    <x v="17"/>
    <x v="129"/>
    <n v="1928"/>
    <n v="10"/>
    <n v="1"/>
    <n v="116.76"/>
    <n v="1736425629520"/>
    <n v="81.900000000000006"/>
    <n v="12.8"/>
    <n v="24.5"/>
    <n v="36991981"/>
    <n v="97.997953539823015"/>
    <d v="2026-10-01T00:00:00"/>
    <d v="1928-10-01T00:00:00"/>
  </r>
  <r>
    <n v="204"/>
    <x v="13"/>
    <x v="191"/>
    <x v="8"/>
    <s v="Gstaad"/>
    <s v="Biotech, investments"/>
    <x v="13"/>
    <x v="0"/>
    <x v="0"/>
    <s v="Bertarelli"/>
    <x v="164"/>
    <x v="130"/>
    <n v="1965"/>
    <n v="9"/>
    <n v="22"/>
    <n v="99.55"/>
    <n v="703082435360"/>
    <n v="83.6"/>
    <n v="10.1"/>
    <n v="28.8"/>
    <n v="8574832"/>
    <n v="61.025303599028483"/>
    <d v="2026-10-01T00:00:00"/>
    <d v="1965-09-22T00:00:00"/>
  </r>
  <r>
    <n v="204"/>
    <x v="2"/>
    <x v="192"/>
    <x v="5"/>
    <s v="Beijing"/>
    <s v="Food delivery"/>
    <x v="2"/>
    <x v="1"/>
    <x v="0"/>
    <s v="Wang"/>
    <x v="165"/>
    <x v="130"/>
    <n v="1979"/>
    <n v="2"/>
    <n v="18"/>
    <n v="125.08"/>
    <n v="19910000000000"/>
    <n v="77"/>
    <n v="9.4"/>
    <n v="59.2"/>
    <n v="1397715000"/>
    <n v="47.616700889801507"/>
    <d v="2026-10-01T00:00:00"/>
    <d v="1979-02-18T00:00:00"/>
  </r>
  <r>
    <n v="206"/>
    <x v="2"/>
    <x v="193"/>
    <x v="1"/>
    <s v="San Francisco"/>
    <s v="Airbnb"/>
    <x v="2"/>
    <x v="1"/>
    <x v="0"/>
    <s v="Chesky"/>
    <x v="166"/>
    <x v="131"/>
    <n v="1981"/>
    <n v="8"/>
    <n v="29"/>
    <n v="117.24"/>
    <n v="21427700000000"/>
    <n v="78.5"/>
    <n v="9.6"/>
    <n v="36.6"/>
    <n v="328239523"/>
    <n v="45.091006487709066"/>
    <d v="2026-10-01T00:00:00"/>
    <d v="1981-08-29T00:00:00"/>
  </r>
  <r>
    <n v="206"/>
    <x v="10"/>
    <x v="194"/>
    <x v="12"/>
    <s v="Gloucestershire"/>
    <s v="Vacuums"/>
    <x v="10"/>
    <x v="1"/>
    <x v="0"/>
    <s v="Dyson"/>
    <x v="58"/>
    <x v="131"/>
    <n v="1947"/>
    <n v="5"/>
    <n v="2"/>
    <n v="119.62"/>
    <n v="2827113184696"/>
    <n v="81.3"/>
    <n v="25.5"/>
    <n v="30.6"/>
    <n v="66834405"/>
    <n v="79.416837782340863"/>
    <d v="2026-10-01T00:00:00"/>
    <d v="1947-05-02T00:00:00"/>
  </r>
  <r>
    <n v="208"/>
    <x v="6"/>
    <x v="195"/>
    <x v="16"/>
    <s v="Moscow"/>
    <s v="Steel, investments"/>
    <x v="6"/>
    <x v="1"/>
    <x v="0"/>
    <s v="Abramovich"/>
    <x v="167"/>
    <x v="132"/>
    <n v="1966"/>
    <n v="10"/>
    <n v="24"/>
    <n v="180.75"/>
    <n v="1699876578871"/>
    <n v="72.7"/>
    <n v="11.4"/>
    <n v="46.2"/>
    <n v="144373535"/>
    <n v="59.937701974865348"/>
    <d v="2026-10-01T00:00:00"/>
    <d v="1966-10-24T00:00:00"/>
  </r>
  <r>
    <n v="208"/>
    <x v="6"/>
    <x v="196"/>
    <x v="19"/>
    <s v="Stockholm"/>
    <s v="Diversified"/>
    <x v="6"/>
    <x v="0"/>
    <x v="1"/>
    <s v="Ax:son Johnson"/>
    <x v="168"/>
    <x v="132"/>
    <n v="1943"/>
    <n v="9"/>
    <n v="6"/>
    <n v="110.51"/>
    <n v="530832908738"/>
    <n v="82.5"/>
    <n v="27.9"/>
    <n v="49.1"/>
    <n v="10285453"/>
    <n v="83.069130732375086"/>
    <d v="2026-10-01T00:00:00"/>
    <d v="1943-09-06T00:00:00"/>
  </r>
  <r>
    <n v="208"/>
    <x v="12"/>
    <x v="197"/>
    <x v="18"/>
    <s v="Prague"/>
    <s v="Energy, investments"/>
    <x v="12"/>
    <x v="1"/>
    <x v="0"/>
    <s v="Kretinsky"/>
    <x v="79"/>
    <x v="132"/>
    <n v="1975"/>
    <n v="7"/>
    <n v="9"/>
    <n v="116.48"/>
    <n v="246489245495"/>
    <n v="79"/>
    <n v="14.9"/>
    <n v="46.1"/>
    <n v="10669709"/>
    <n v="51.230663928815879"/>
    <d v="2026-10-01T00:00:00"/>
    <d v="1975-07-09T00:00:00"/>
  </r>
  <r>
    <n v="208"/>
    <x v="4"/>
    <x v="198"/>
    <x v="1"/>
    <s v="Elizabeth"/>
    <s v="Cable television"/>
    <x v="4"/>
    <x v="1"/>
    <x v="0"/>
    <s v="Malone"/>
    <x v="29"/>
    <x v="132"/>
    <n v="1941"/>
    <n v="3"/>
    <n v="7"/>
    <n v="117.24"/>
    <n v="21427700000000"/>
    <n v="78.5"/>
    <n v="9.6"/>
    <n v="36.6"/>
    <n v="328239523"/>
    <n v="85.570150584190245"/>
    <d v="2026-10-01T00:00:00"/>
    <d v="1941-03-07T00:00:00"/>
  </r>
  <r>
    <n v="208"/>
    <x v="2"/>
    <x v="199"/>
    <x v="3"/>
    <s v="Bangalore"/>
    <s v="Software services"/>
    <x v="2"/>
    <x v="0"/>
    <x v="0"/>
    <s v="Premji"/>
    <x v="169"/>
    <x v="132"/>
    <n v="1945"/>
    <n v="7"/>
    <n v="24"/>
    <n v="180.44"/>
    <n v="2611000000000"/>
    <n v="69.400000000000006"/>
    <n v="11.2"/>
    <n v="49.7"/>
    <n v="1366417754"/>
    <n v="81.189582637729544"/>
    <d v="2026-10-01T00:00:00"/>
    <d v="1945-07-24T00:00:00"/>
  </r>
  <r>
    <n v="208"/>
    <x v="3"/>
    <x v="200"/>
    <x v="1"/>
    <s v="Woodside"/>
    <s v="Discount brokerage"/>
    <x v="3"/>
    <x v="1"/>
    <x v="0"/>
    <s v="Schwab"/>
    <x v="15"/>
    <x v="132"/>
    <n v="1937"/>
    <n v="7"/>
    <n v="29"/>
    <n v="117.24"/>
    <n v="21427700000000"/>
    <n v="78.5"/>
    <n v="9.6"/>
    <n v="36.6"/>
    <n v="328239523"/>
    <n v="89.175894378194201"/>
    <d v="2026-10-01T00:00:00"/>
    <d v="1937-07-29T00:00:00"/>
  </r>
  <r>
    <n v="208"/>
    <x v="0"/>
    <x v="201"/>
    <x v="1"/>
    <s v="Beverly Hills"/>
    <s v="Hardware stores"/>
    <x v="0"/>
    <x v="1"/>
    <x v="0"/>
    <s v="Smidt"/>
    <x v="73"/>
    <x v="132"/>
    <n v="1960"/>
    <n v="1"/>
    <n v="1"/>
    <n v="117.24"/>
    <n v="21427700000000"/>
    <n v="78.5"/>
    <n v="9.6"/>
    <n v="36.6"/>
    <n v="328239523"/>
    <n v="66.748120300751879"/>
    <d v="2026-10-01T00:00:00"/>
    <d v="1960-01-01T00:00:00"/>
  </r>
  <r>
    <n v="215"/>
    <x v="2"/>
    <x v="202"/>
    <x v="1"/>
    <s v="Palo Alto"/>
    <s v="Google"/>
    <x v="2"/>
    <x v="1"/>
    <x v="0"/>
    <s v="Cheriton"/>
    <x v="20"/>
    <x v="133"/>
    <n v="1951"/>
    <n v="3"/>
    <n v="29"/>
    <n v="117.24"/>
    <n v="21427700000000"/>
    <n v="78.5"/>
    <n v="9.6"/>
    <n v="36.6"/>
    <n v="328239523"/>
    <n v="75.509924709103359"/>
    <d v="2026-10-01T00:00:00"/>
    <d v="1951-03-29T00:00:00"/>
  </r>
  <r>
    <n v="215"/>
    <x v="11"/>
    <x v="203"/>
    <x v="8"/>
    <s v="Ruschlikon"/>
    <s v="Mining"/>
    <x v="11"/>
    <x v="1"/>
    <x v="0"/>
    <s v="Glasenberg"/>
    <x v="170"/>
    <x v="133"/>
    <n v="1957"/>
    <n v="1"/>
    <n v="7"/>
    <n v="99.55"/>
    <n v="703082435360"/>
    <n v="83.6"/>
    <n v="10.1"/>
    <n v="28.8"/>
    <n v="8574832"/>
    <n v="69.731685375679589"/>
    <d v="2026-10-01T00:00:00"/>
    <d v="1957-01-07T00:00:00"/>
  </r>
  <r>
    <n v="215"/>
    <x v="15"/>
    <x v="204"/>
    <x v="7"/>
    <s v="Hamburg"/>
    <s v="Real estate"/>
    <x v="15"/>
    <x v="0"/>
    <x v="0"/>
    <s v="Otto"/>
    <x v="171"/>
    <x v="133"/>
    <n v="1967"/>
    <n v="7"/>
    <n v="7"/>
    <n v="112.85"/>
    <n v="3845630030824"/>
    <n v="80.900000000000006"/>
    <n v="11.5"/>
    <n v="48.8"/>
    <n v="83132799"/>
    <n v="59.236139630390142"/>
    <d v="2026-10-01T00:00:00"/>
    <d v="1967-07-07T00:00:00"/>
  </r>
  <r>
    <n v="215"/>
    <x v="7"/>
    <x v="205"/>
    <x v="6"/>
    <s v="Vancouver"/>
    <s v="Alcoholic beverages"/>
    <x v="7"/>
    <x v="1"/>
    <x v="0"/>
    <s v="von Mandl"/>
    <x v="124"/>
    <x v="133"/>
    <n v="1950"/>
    <n v="3"/>
    <n v="10"/>
    <n v="116.76"/>
    <n v="1736425629520"/>
    <n v="81.900000000000006"/>
    <n v="12.8"/>
    <n v="24.5"/>
    <n v="36991981"/>
    <n v="76.561939980088184"/>
    <d v="2026-10-01T00:00:00"/>
    <d v="1950-03-10T00:00:00"/>
  </r>
  <r>
    <n v="215"/>
    <x v="10"/>
    <x v="206"/>
    <x v="5"/>
    <s v="Changzhou"/>
    <s v="Hydraulic machinery"/>
    <x v="10"/>
    <x v="1"/>
    <x v="0"/>
    <s v="Wang"/>
    <x v="172"/>
    <x v="133"/>
    <n v="1966"/>
    <n v="2"/>
    <n v="24"/>
    <n v="125.08"/>
    <n v="19910000000000"/>
    <n v="77"/>
    <n v="9.4"/>
    <n v="59.2"/>
    <n v="1397715000"/>
    <n v="60.600269299820468"/>
    <d v="2026-10-01T00:00:00"/>
    <d v="1966-02-24T00:00:00"/>
  </r>
  <r>
    <n v="220"/>
    <x v="7"/>
    <x v="207"/>
    <x v="12"/>
    <s v="London"/>
    <s v="Packaging"/>
    <x v="7"/>
    <x v="0"/>
    <x v="0"/>
    <s v="Rausing"/>
    <x v="173"/>
    <x v="134"/>
    <n v="1955"/>
    <n v="1"/>
    <n v="1"/>
    <n v="119.62"/>
    <n v="2827113184696"/>
    <n v="81.3"/>
    <n v="25.5"/>
    <n v="30.6"/>
    <n v="66834405"/>
    <n v="71.748117727583846"/>
    <d v="2026-10-01T00:00:00"/>
    <d v="1955-01-01T00:00:00"/>
  </r>
  <r>
    <n v="220"/>
    <x v="7"/>
    <x v="208"/>
    <x v="12"/>
    <s v="Surrey"/>
    <s v="Packaging"/>
    <x v="7"/>
    <x v="0"/>
    <x v="0"/>
    <s v="Rausing"/>
    <x v="174"/>
    <x v="134"/>
    <n v="1960"/>
    <n v="1"/>
    <n v="1"/>
    <n v="119.62"/>
    <n v="2827113184696"/>
    <n v="81.3"/>
    <n v="25.5"/>
    <n v="30.6"/>
    <n v="66834405"/>
    <n v="66.748120300751879"/>
    <d v="2026-10-01T00:00:00"/>
    <d v="1960-01-01T00:00:00"/>
  </r>
  <r>
    <n v="220"/>
    <x v="7"/>
    <x v="209"/>
    <x v="12"/>
    <s v="Newmarket"/>
    <s v="Packaging"/>
    <x v="7"/>
    <x v="0"/>
    <x v="1"/>
    <s v="Rausing"/>
    <x v="175"/>
    <x v="134"/>
    <n v="1952"/>
    <n v="6"/>
    <n v="6"/>
    <n v="119.62"/>
    <n v="2827113184696"/>
    <n v="81.3"/>
    <n v="25.5"/>
    <n v="30.6"/>
    <n v="66834405"/>
    <n v="74.318281375483679"/>
    <d v="2026-10-01T00:00:00"/>
    <d v="1952-06-06T00:00:00"/>
  </r>
  <r>
    <n v="223"/>
    <x v="0"/>
    <x v="210"/>
    <x v="16"/>
    <s v="Moscow region"/>
    <s v="Ecommerce"/>
    <x v="0"/>
    <x v="1"/>
    <x v="1"/>
    <s v="Bakalchuk"/>
    <x v="176"/>
    <x v="135"/>
    <n v="1975"/>
    <n v="10"/>
    <n v="16"/>
    <n v="180.75"/>
    <n v="1699876578871"/>
    <n v="72.7"/>
    <n v="11.4"/>
    <n v="46.2"/>
    <n v="144373535"/>
    <n v="50.959616700889804"/>
    <d v="2026-10-01T00:00:00"/>
    <d v="1975-10-16T00:00:00"/>
  </r>
  <r>
    <n v="223"/>
    <x v="2"/>
    <x v="211"/>
    <x v="1"/>
    <s v="Woodside"/>
    <s v="Venture capital"/>
    <x v="2"/>
    <x v="1"/>
    <x v="0"/>
    <s v="Doerr"/>
    <x v="29"/>
    <x v="135"/>
    <n v="1951"/>
    <n v="6"/>
    <n v="29"/>
    <n v="117.24"/>
    <n v="21427700000000"/>
    <n v="78.5"/>
    <n v="9.6"/>
    <n v="36.6"/>
    <n v="328239523"/>
    <n v="75.258042436687205"/>
    <d v="2026-10-01T00:00:00"/>
    <d v="1951-06-29T00:00:00"/>
  </r>
  <r>
    <n v="223"/>
    <x v="2"/>
    <x v="212"/>
    <x v="5"/>
    <s v="Beijing"/>
    <s v="E-commerce"/>
    <x v="2"/>
    <x v="1"/>
    <x v="0"/>
    <s v="Liu"/>
    <x v="177"/>
    <x v="135"/>
    <n v="1974"/>
    <n v="3"/>
    <n v="10"/>
    <n v="125.08"/>
    <n v="19910000000000"/>
    <n v="77"/>
    <n v="9.4"/>
    <n v="59.2"/>
    <n v="1397715000"/>
    <n v="52.561938216757923"/>
    <d v="2026-10-01T00:00:00"/>
    <d v="1974-03-10T00:00:00"/>
  </r>
  <r>
    <n v="223"/>
    <x v="2"/>
    <x v="213"/>
    <x v="1"/>
    <s v="San Francisco"/>
    <s v="Facebook"/>
    <x v="2"/>
    <x v="1"/>
    <x v="0"/>
    <s v="Moskovitz"/>
    <x v="178"/>
    <x v="135"/>
    <n v="1984"/>
    <n v="5"/>
    <n v="22"/>
    <n v="117.24"/>
    <n v="21427700000000"/>
    <n v="78.5"/>
    <n v="9.6"/>
    <n v="36.6"/>
    <n v="328239523"/>
    <n v="42.359353113459825"/>
    <d v="2026-10-01T00:00:00"/>
    <d v="1984-05-22T00:00:00"/>
  </r>
  <r>
    <n v="223"/>
    <x v="2"/>
    <x v="214"/>
    <x v="1"/>
    <s v="Honolulu"/>
    <s v="EBay, PayPal"/>
    <x v="2"/>
    <x v="1"/>
    <x v="0"/>
    <s v="Omidyar"/>
    <x v="179"/>
    <x v="135"/>
    <n v="1967"/>
    <n v="6"/>
    <n v="21"/>
    <n v="117.24"/>
    <n v="21427700000000"/>
    <n v="78.5"/>
    <n v="9.6"/>
    <n v="36.6"/>
    <n v="328239523"/>
    <n v="59.279945242984255"/>
    <d v="2026-10-01T00:00:00"/>
    <d v="1967-06-21T00:00:00"/>
  </r>
  <r>
    <n v="223"/>
    <x v="12"/>
    <x v="215"/>
    <x v="5"/>
    <s v="Ningde"/>
    <s v="Batteries"/>
    <x v="12"/>
    <x v="1"/>
    <x v="0"/>
    <s v="Pei"/>
    <x v="180"/>
    <x v="135"/>
    <n v="1959"/>
    <n v="1"/>
    <n v="1"/>
    <n v="125.08"/>
    <n v="19910000000000"/>
    <n v="77"/>
    <n v="9.4"/>
    <n v="59.2"/>
    <n v="1397715000"/>
    <n v="67.748117727583846"/>
    <d v="2026-10-01T00:00:00"/>
    <d v="1959-01-01T00:00:00"/>
  </r>
  <r>
    <n v="223"/>
    <x v="12"/>
    <x v="216"/>
    <x v="12"/>
    <s v="London"/>
    <s v="Oil"/>
    <x v="12"/>
    <x v="0"/>
    <x v="1"/>
    <s v="Perrodo"/>
    <x v="181"/>
    <x v="135"/>
    <n v="1951"/>
    <n v="1"/>
    <n v="1"/>
    <n v="119.62"/>
    <n v="2827113184696"/>
    <n v="81.3"/>
    <n v="25.5"/>
    <n v="30.6"/>
    <n v="66834405"/>
    <n v="75.748117727583846"/>
    <d v="2026-10-01T00:00:00"/>
    <d v="1951-01-01T00:00:00"/>
  </r>
  <r>
    <n v="230"/>
    <x v="10"/>
    <x v="217"/>
    <x v="5"/>
    <s v="Wujiang"/>
    <s v="Chemicals"/>
    <x v="10"/>
    <x v="1"/>
    <x v="0"/>
    <s v="Chen"/>
    <x v="182"/>
    <x v="136"/>
    <n v="1971"/>
    <n v="1"/>
    <n v="1"/>
    <n v="125.08"/>
    <n v="19910000000000"/>
    <n v="77"/>
    <n v="9.4"/>
    <n v="59.2"/>
    <n v="1397715000"/>
    <n v="55.748117727583846"/>
    <d v="2026-10-01T00:00:00"/>
    <d v="1971-01-01T00:00:00"/>
  </r>
  <r>
    <n v="230"/>
    <x v="0"/>
    <x v="218"/>
    <x v="7"/>
    <s v="Hamburg"/>
    <s v="Retail, real estate"/>
    <x v="0"/>
    <x v="0"/>
    <x v="0"/>
    <s v="Otto"/>
    <x v="6"/>
    <x v="136"/>
    <n v="1943"/>
    <n v="4"/>
    <n v="12"/>
    <n v="112.85"/>
    <n v="3845630030824"/>
    <n v="80.900000000000006"/>
    <n v="11.5"/>
    <n v="48.8"/>
    <n v="83132799"/>
    <n v="83.471594798083501"/>
    <d v="2026-10-01T00:00:00"/>
    <d v="1943-04-12T00:00:00"/>
  </r>
  <r>
    <n v="232"/>
    <x v="3"/>
    <x v="219"/>
    <x v="1"/>
    <s v="New York"/>
    <s v="Private equity"/>
    <x v="3"/>
    <x v="1"/>
    <x v="0"/>
    <s v="Black"/>
    <x v="183"/>
    <x v="137"/>
    <n v="1951"/>
    <n v="7"/>
    <n v="31"/>
    <n v="117.24"/>
    <n v="21427700000000"/>
    <n v="78.5"/>
    <n v="9.6"/>
    <n v="36.6"/>
    <n v="328239523"/>
    <n v="75.170431211498979"/>
    <d v="2026-10-01T00:00:00"/>
    <d v="1951-07-31T00:00:00"/>
  </r>
  <r>
    <n v="232"/>
    <x v="3"/>
    <x v="220"/>
    <x v="29"/>
    <s v="Auckland"/>
    <s v="Investments"/>
    <x v="3"/>
    <x v="1"/>
    <x v="0"/>
    <s v="Hart"/>
    <x v="184"/>
    <x v="137"/>
    <n v="1955"/>
    <n v="6"/>
    <n v="6"/>
    <n v="114.24"/>
    <n v="206928765544"/>
    <n v="81.900000000000006"/>
    <n v="29"/>
    <n v="34.6"/>
    <n v="4841000"/>
    <n v="71.32101300479124"/>
    <d v="2026-10-01T00:00:00"/>
    <d v="1955-06-06T00:00:00"/>
  </r>
  <r>
    <n v="232"/>
    <x v="7"/>
    <x v="221"/>
    <x v="3"/>
    <s v="Delhi"/>
    <s v="Soft drinks, fast food"/>
    <x v="7"/>
    <x v="0"/>
    <x v="0"/>
    <s v="Jaipuria"/>
    <x v="185"/>
    <x v="137"/>
    <n v="1954"/>
    <n v="11"/>
    <n v="28"/>
    <n v="180.44"/>
    <n v="2611000000000"/>
    <n v="69.400000000000006"/>
    <n v="11.2"/>
    <n v="49.7"/>
    <n v="1366417754"/>
    <n v="71.841878258260508"/>
    <d v="2026-10-01T00:00:00"/>
    <d v="1954-11-28T00:00:00"/>
  </r>
  <r>
    <n v="232"/>
    <x v="2"/>
    <x v="222"/>
    <x v="7"/>
    <s v="Heidelberg"/>
    <s v="Software"/>
    <x v="2"/>
    <x v="1"/>
    <x v="0"/>
    <s v="Plattner"/>
    <x v="186"/>
    <x v="137"/>
    <n v="1944"/>
    <n v="1"/>
    <n v="21"/>
    <n v="112.85"/>
    <n v="3845630030824"/>
    <n v="80.900000000000006"/>
    <n v="11.5"/>
    <n v="48.8"/>
    <n v="83132799"/>
    <n v="82.693363240533046"/>
    <d v="2026-10-01T00:00:00"/>
    <d v="1944-01-21T00:00:00"/>
  </r>
  <r>
    <n v="232"/>
    <x v="7"/>
    <x v="223"/>
    <x v="8"/>
    <s v="St. Gallen"/>
    <s v="Beer"/>
    <x v="7"/>
    <x v="1"/>
    <x v="0"/>
    <s v="Sicupira"/>
    <x v="187"/>
    <x v="137"/>
    <n v="1948"/>
    <n v="1"/>
    <n v="1"/>
    <n v="99.55"/>
    <n v="703082435360"/>
    <n v="83.6"/>
    <n v="10.1"/>
    <n v="28.8"/>
    <n v="8574832"/>
    <n v="78.748119909894299"/>
    <d v="2026-10-01T00:00:00"/>
    <d v="1948-01-01T00:00:00"/>
  </r>
  <r>
    <n v="232"/>
    <x v="15"/>
    <x v="224"/>
    <x v="30"/>
    <s v="Manila"/>
    <s v="Real estate"/>
    <x v="15"/>
    <x v="1"/>
    <x v="0"/>
    <s v="Villar"/>
    <x v="188"/>
    <x v="137"/>
    <n v="1949"/>
    <n v="12"/>
    <n v="13"/>
    <n v="129.61000000000001"/>
    <n v="376795508680"/>
    <n v="71.099999999999994"/>
    <n v="14"/>
    <n v="43.1"/>
    <n v="108116615"/>
    <n v="76.800800308891155"/>
    <d v="2026-10-01T00:00:00"/>
    <d v="1949-12-13T00:00:00"/>
  </r>
  <r>
    <n v="232"/>
    <x v="2"/>
    <x v="225"/>
    <x v="1"/>
    <s v="Palo Alto"/>
    <s v="Google"/>
    <x v="2"/>
    <x v="1"/>
    <x v="0"/>
    <s v="von Bechtolsheim"/>
    <x v="120"/>
    <x v="137"/>
    <n v="1955"/>
    <n v="9"/>
    <n v="30"/>
    <n v="117.24"/>
    <n v="21427700000000"/>
    <n v="78.5"/>
    <n v="9.6"/>
    <n v="36.6"/>
    <n v="328239523"/>
    <n v="71.00342231348391"/>
    <d v="2026-10-01T00:00:00"/>
    <d v="1955-09-30T00:00:00"/>
  </r>
  <r>
    <n v="239"/>
    <x v="3"/>
    <x v="226"/>
    <x v="1"/>
    <s v="New York"/>
    <s v="Investments"/>
    <x v="3"/>
    <x v="1"/>
    <x v="0"/>
    <s v="Coleman"/>
    <x v="189"/>
    <x v="138"/>
    <n v="1975"/>
    <n v="6"/>
    <n v="21"/>
    <n v="117.24"/>
    <n v="21427700000000"/>
    <n v="78.5"/>
    <n v="9.6"/>
    <n v="36.6"/>
    <n v="328239523"/>
    <n v="51.279945242984255"/>
    <d v="2026-10-01T00:00:00"/>
    <d v="1975-06-21T00:00:00"/>
  </r>
  <r>
    <n v="239"/>
    <x v="0"/>
    <x v="227"/>
    <x v="1"/>
    <s v="Electra"/>
    <s v="Walmart"/>
    <x v="0"/>
    <x v="0"/>
    <x v="1"/>
    <s v="Kroenke"/>
    <x v="190"/>
    <x v="138"/>
    <n v="1948"/>
    <n v="12"/>
    <n v="18"/>
    <n v="117.24"/>
    <n v="21427700000000"/>
    <n v="78.5"/>
    <n v="9.6"/>
    <n v="36.6"/>
    <n v="328239523"/>
    <n v="77.784404782533358"/>
    <d v="2026-10-01T00:00:00"/>
    <d v="1948-12-18T00:00:00"/>
  </r>
  <r>
    <n v="239"/>
    <x v="10"/>
    <x v="228"/>
    <x v="5"/>
    <s v="Xi'an"/>
    <s v="Solar wafers and modules"/>
    <x v="10"/>
    <x v="1"/>
    <x v="0"/>
    <s v="Li"/>
    <x v="191"/>
    <x v="138"/>
    <n v="1968"/>
    <n v="1"/>
    <n v="1"/>
    <n v="125.08"/>
    <n v="19910000000000"/>
    <n v="77"/>
    <n v="9.4"/>
    <n v="59.2"/>
    <n v="1397715000"/>
    <n v="58.748120649651973"/>
    <d v="2026-10-01T00:00:00"/>
    <d v="1968-01-01T00:00:00"/>
  </r>
  <r>
    <n v="242"/>
    <x v="4"/>
    <x v="229"/>
    <x v="1"/>
    <s v="Atlanta"/>
    <s v="Media, automotive"/>
    <x v="4"/>
    <x v="0"/>
    <x v="0"/>
    <s v="Kennedy"/>
    <x v="17"/>
    <x v="139"/>
    <n v="1947"/>
    <n v="11"/>
    <n v="29"/>
    <n v="117.24"/>
    <n v="21427700000000"/>
    <n v="78.5"/>
    <n v="9.6"/>
    <n v="36.6"/>
    <n v="328239523"/>
    <n v="78.839151266255996"/>
    <d v="2026-10-01T00:00:00"/>
    <d v="1947-11-29T00:00:00"/>
  </r>
  <r>
    <n v="242"/>
    <x v="11"/>
    <x v="230"/>
    <x v="25"/>
    <s v="Johannesburg"/>
    <s v="Diamonds"/>
    <x v="11"/>
    <x v="0"/>
    <x v="0"/>
    <s v="Oppenheimer"/>
    <x v="192"/>
    <x v="139"/>
    <n v="1945"/>
    <n v="6"/>
    <n v="8"/>
    <n v="158.93"/>
    <n v="351431649241"/>
    <n v="63.9"/>
    <n v="27.5"/>
    <n v="29.2"/>
    <n v="58558270"/>
    <n v="81.315525876460768"/>
    <d v="2026-10-01T00:00:00"/>
    <d v="1945-06-08T00:00:00"/>
  </r>
  <r>
    <n v="242"/>
    <x v="4"/>
    <x v="231"/>
    <x v="13"/>
    <s v="New South Wales"/>
    <s v="Media, automotive"/>
    <x v="4"/>
    <x v="0"/>
    <x v="1"/>
    <s v="Parry-Okeden"/>
    <x v="193"/>
    <x v="139"/>
    <n v="1950"/>
    <n v="5"/>
    <n v="21"/>
    <n v="119.8"/>
    <n v="1392680589329"/>
    <n v="82.7"/>
    <n v="23"/>
    <n v="47.4"/>
    <n v="25766605"/>
    <n v="76.364812971127861"/>
    <d v="2026-10-01T00:00:00"/>
    <d v="1950-05-21T00:00:00"/>
  </r>
  <r>
    <n v="242"/>
    <x v="11"/>
    <x v="232"/>
    <x v="5"/>
    <s v="Binzhou"/>
    <s v="Aluminum products"/>
    <x v="11"/>
    <x v="0"/>
    <x v="1"/>
    <s v="Zheng"/>
    <x v="194"/>
    <x v="139"/>
    <n v="1946"/>
    <n v="1"/>
    <n v="1"/>
    <n v="125.08"/>
    <n v="19910000000000"/>
    <n v="77"/>
    <n v="9.4"/>
    <n v="59.2"/>
    <n v="1397715000"/>
    <n v="80.748115599121164"/>
    <d v="2026-10-01T00:00:00"/>
    <d v="1946-01-01T00:00:00"/>
  </r>
  <r>
    <n v="246"/>
    <x v="0"/>
    <x v="233"/>
    <x v="1"/>
    <s v="Springfield"/>
    <s v="Sporting goods retail"/>
    <x v="0"/>
    <x v="1"/>
    <x v="0"/>
    <s v="Morris"/>
    <x v="29"/>
    <x v="140"/>
    <n v="1948"/>
    <n v="3"/>
    <n v="19"/>
    <n v="117.24"/>
    <n v="21427700000000"/>
    <n v="78.5"/>
    <n v="9.6"/>
    <n v="36.6"/>
    <n v="328239523"/>
    <n v="78.534569398717721"/>
    <d v="2026-10-01T00:00:00"/>
    <d v="1948-03-19T00:00:00"/>
  </r>
  <r>
    <n v="249"/>
    <x v="12"/>
    <x v="234"/>
    <x v="16"/>
    <s v="Moscow"/>
    <s v="Oil, banking, telecom"/>
    <x v="12"/>
    <x v="1"/>
    <x v="0"/>
    <s v="Khan"/>
    <x v="195"/>
    <x v="141"/>
    <n v="1961"/>
    <n v="10"/>
    <n v="24"/>
    <n v="180.75"/>
    <n v="1699876578871"/>
    <n v="72.7"/>
    <n v="11.4"/>
    <n v="46.2"/>
    <n v="144373535"/>
    <n v="64.937691860947481"/>
    <d v="2026-10-01T00:00:00"/>
    <d v="1961-10-24T00:00:00"/>
  </r>
  <r>
    <n v="249"/>
    <x v="6"/>
    <x v="235"/>
    <x v="22"/>
    <s v="Lagos"/>
    <s v="Cement, sugar"/>
    <x v="6"/>
    <x v="0"/>
    <x v="0"/>
    <s v="Rabiu"/>
    <x v="196"/>
    <x v="141"/>
    <n v="1960"/>
    <n v="8"/>
    <n v="4"/>
    <n v="267.51"/>
    <n v="448120428859"/>
    <n v="54.3"/>
    <n v="1.5"/>
    <n v="34.799999999999997"/>
    <n v="200963599"/>
    <n v="66.156750572082387"/>
    <d v="2026-10-01T00:00:00"/>
    <d v="1960-08-04T00:00:00"/>
  </r>
  <r>
    <n v="249"/>
    <x v="3"/>
    <x v="236"/>
    <x v="1"/>
    <s v="Atherton"/>
    <s v="Private equity"/>
    <x v="3"/>
    <x v="1"/>
    <x v="0"/>
    <s v="Roberts"/>
    <x v="108"/>
    <x v="141"/>
    <n v="1943"/>
    <n v="9"/>
    <n v="14"/>
    <n v="117.24"/>
    <n v="21427700000000"/>
    <n v="78.5"/>
    <n v="9.6"/>
    <n v="36.6"/>
    <n v="328239523"/>
    <n v="83.047227926078023"/>
    <d v="2026-10-01T00:00:00"/>
    <d v="1943-09-14T00:00:00"/>
  </r>
  <r>
    <n v="249"/>
    <x v="15"/>
    <x v="237"/>
    <x v="3"/>
    <s v="Delhi"/>
    <s v="Real estate"/>
    <x v="15"/>
    <x v="0"/>
    <x v="0"/>
    <s v="Singh"/>
    <x v="197"/>
    <x v="141"/>
    <n v="1931"/>
    <n v="8"/>
    <n v="15"/>
    <n v="180.44"/>
    <n v="2611000000000"/>
    <n v="69.400000000000006"/>
    <n v="11.2"/>
    <n v="49.7"/>
    <n v="1366417754"/>
    <n v="95.129363449691994"/>
    <d v="2026-10-01T00:00:00"/>
    <d v="1931-08-15T00:00:00"/>
  </r>
  <r>
    <n v="249"/>
    <x v="15"/>
    <x v="238"/>
    <x v="5"/>
    <s v="Beijing"/>
    <s v="Real estate"/>
    <x v="15"/>
    <x v="1"/>
    <x v="0"/>
    <s v="Wang"/>
    <x v="198"/>
    <x v="141"/>
    <n v="1954"/>
    <n v="10"/>
    <n v="1"/>
    <n v="125.08"/>
    <n v="19910000000000"/>
    <n v="77"/>
    <n v="9.4"/>
    <n v="59.2"/>
    <n v="1397715000"/>
    <n v="72.000675092825261"/>
    <d v="2026-10-01T00:00:00"/>
    <d v="1954-10-01T00:00:00"/>
  </r>
  <r>
    <n v="249"/>
    <x v="15"/>
    <x v="239"/>
    <x v="5"/>
    <s v="Foshan"/>
    <s v="Real estate"/>
    <x v="15"/>
    <x v="0"/>
    <x v="1"/>
    <s v="Yang"/>
    <x v="199"/>
    <x v="141"/>
    <n v="1981"/>
    <n v="9"/>
    <n v="27"/>
    <n v="125.08"/>
    <n v="19910000000000"/>
    <n v="77"/>
    <n v="9.4"/>
    <n v="59.2"/>
    <n v="1397715000"/>
    <n v="45.011606451996904"/>
    <d v="2026-10-01T00:00:00"/>
    <d v="1981-09-27T00:00:00"/>
  </r>
  <r>
    <n v="256"/>
    <x v="6"/>
    <x v="240"/>
    <x v="0"/>
    <s v="Paris"/>
    <s v="Diversified"/>
    <x v="6"/>
    <x v="0"/>
    <x v="0"/>
    <s v="Dassault"/>
    <x v="200"/>
    <x v="142"/>
    <n v="1953"/>
    <n v="7"/>
    <n v="7"/>
    <n v="110.05"/>
    <n v="2715518274227"/>
    <n v="82.5"/>
    <n v="24.2"/>
    <n v="60.7"/>
    <n v="67059887"/>
    <n v="73.236125499482029"/>
    <d v="2026-10-01T00:00:00"/>
    <d v="1953-07-07T00:00:00"/>
  </r>
  <r>
    <n v="256"/>
    <x v="6"/>
    <x v="241"/>
    <x v="0"/>
    <s v="Paris"/>
    <s v="Diversified"/>
    <x v="6"/>
    <x v="0"/>
    <x v="0"/>
    <s v="Dassault"/>
    <x v="201"/>
    <x v="142"/>
    <n v="1957"/>
    <n v="3"/>
    <n v="26"/>
    <n v="110.05"/>
    <n v="2715518274227"/>
    <n v="82.5"/>
    <n v="24.2"/>
    <n v="60.7"/>
    <n v="67059887"/>
    <n v="69.518128837955175"/>
    <d v="2026-10-01T00:00:00"/>
    <d v="1957-03-26T00:00:00"/>
  </r>
  <r>
    <n v="256"/>
    <x v="7"/>
    <x v="242"/>
    <x v="1"/>
    <s v="Houston"/>
    <s v="Houston Rockets, entertainment"/>
    <x v="7"/>
    <x v="1"/>
    <x v="0"/>
    <s v="Fertitta"/>
    <x v="202"/>
    <x v="142"/>
    <n v="1957"/>
    <n v="6"/>
    <n v="25"/>
    <n v="117.24"/>
    <n v="21427700000000"/>
    <n v="78.5"/>
    <n v="9.6"/>
    <n v="36.6"/>
    <n v="328239523"/>
    <n v="69.26897954394336"/>
    <d v="2026-10-01T00:00:00"/>
    <d v="1957-06-25T00:00:00"/>
  </r>
  <r>
    <n v="256"/>
    <x v="6"/>
    <x v="243"/>
    <x v="0"/>
    <s v="Paris"/>
    <s v="Diversified"/>
    <x v="6"/>
    <x v="0"/>
    <x v="1"/>
    <s v="Habert-Dassault"/>
    <x v="203"/>
    <x v="142"/>
    <n v="1965"/>
    <n v="4"/>
    <n v="4"/>
    <n v="110.05"/>
    <n v="2715518274227"/>
    <n v="82.5"/>
    <n v="24.2"/>
    <n v="60.7"/>
    <n v="67059887"/>
    <n v="61.493486420843453"/>
    <d v="2026-10-01T00:00:00"/>
    <d v="1965-04-04T00:00:00"/>
  </r>
  <r>
    <n v="256"/>
    <x v="9"/>
    <x v="244"/>
    <x v="8"/>
    <s v="Verbier"/>
    <s v="Oil and gas, IT, lotteries"/>
    <x v="9"/>
    <x v="1"/>
    <x v="0"/>
    <s v="Komarek"/>
    <x v="204"/>
    <x v="142"/>
    <n v="1969"/>
    <n v="3"/>
    <n v="15"/>
    <n v="99.55"/>
    <n v="703082435360"/>
    <n v="83.6"/>
    <n v="10.1"/>
    <n v="28.8"/>
    <n v="8574832"/>
    <n v="57.548243957703924"/>
    <d v="2026-10-01T00:00:00"/>
    <d v="1969-03-15T00:00:00"/>
  </r>
  <r>
    <n v="261"/>
    <x v="2"/>
    <x v="245"/>
    <x v="1"/>
    <s v="San Francisco"/>
    <s v="Airbnb"/>
    <x v="2"/>
    <x v="1"/>
    <x v="0"/>
    <s v="Blecharczyk"/>
    <x v="205"/>
    <x v="143"/>
    <n v="1983"/>
    <n v="6"/>
    <n v="11"/>
    <n v="117.24"/>
    <n v="21427700000000"/>
    <n v="78.5"/>
    <n v="9.6"/>
    <n v="36.6"/>
    <n v="328239523"/>
    <n v="43.307323750855581"/>
    <d v="2026-10-01T00:00:00"/>
    <d v="1983-06-11T00:00:00"/>
  </r>
  <r>
    <n v="261"/>
    <x v="12"/>
    <x v="246"/>
    <x v="16"/>
    <s v="Moscow"/>
    <s v="Oil"/>
    <x v="12"/>
    <x v="1"/>
    <x v="0"/>
    <s v="Fedun"/>
    <x v="63"/>
    <x v="143"/>
    <n v="1956"/>
    <n v="4"/>
    <n v="5"/>
    <n v="180.75"/>
    <n v="1699876578871"/>
    <n v="72.7"/>
    <n v="11.4"/>
    <n v="46.2"/>
    <n v="144373535"/>
    <n v="70.488026838391235"/>
    <d v="2026-10-01T00:00:00"/>
    <d v="1956-04-05T00:00:00"/>
  </r>
  <r>
    <n v="261"/>
    <x v="0"/>
    <x v="247"/>
    <x v="1"/>
    <s v="Atlanta"/>
    <s v="Home Depot"/>
    <x v="0"/>
    <x v="1"/>
    <x v="0"/>
    <s v="Marcus"/>
    <x v="0"/>
    <x v="143"/>
    <n v="1929"/>
    <n v="5"/>
    <n v="12"/>
    <n v="117.24"/>
    <n v="21427700000000"/>
    <n v="78.5"/>
    <n v="9.6"/>
    <n v="36.6"/>
    <n v="328239523"/>
    <n v="97.389450745935079"/>
    <d v="2026-10-01T00:00:00"/>
    <d v="1929-05-12T00:00:00"/>
  </r>
  <r>
    <n v="261"/>
    <x v="3"/>
    <x v="248"/>
    <x v="1"/>
    <s v="Winnetka"/>
    <s v="Insurance"/>
    <x v="3"/>
    <x v="1"/>
    <x v="0"/>
    <s v="Ryan"/>
    <x v="206"/>
    <x v="143"/>
    <n v="1937"/>
    <n v="5"/>
    <n v="15"/>
    <n v="117.24"/>
    <n v="21427700000000"/>
    <n v="78.5"/>
    <n v="9.6"/>
    <n v="36.6"/>
    <n v="328239523"/>
    <n v="89.381236310537844"/>
    <d v="2026-10-01T00:00:00"/>
    <d v="1937-05-15T00:00:00"/>
  </r>
  <r>
    <n v="261"/>
    <x v="3"/>
    <x v="249"/>
    <x v="1"/>
    <s v="Austin"/>
    <s v="Private equity"/>
    <x v="3"/>
    <x v="1"/>
    <x v="0"/>
    <s v="Smith"/>
    <x v="207"/>
    <x v="143"/>
    <n v="1962"/>
    <n v="12"/>
    <n v="1"/>
    <n v="117.24"/>
    <n v="21427700000000"/>
    <n v="78.5"/>
    <n v="9.6"/>
    <n v="36.6"/>
    <n v="328239523"/>
    <n v="63.833663282928271"/>
    <d v="2026-10-01T00:00:00"/>
    <d v="1962-12-01T00:00:00"/>
  </r>
  <r>
    <n v="261"/>
    <x v="11"/>
    <x v="250"/>
    <x v="18"/>
    <s v="Prague"/>
    <s v="Coal mines"/>
    <x v="11"/>
    <x v="1"/>
    <x v="0"/>
    <s v="Tykac"/>
    <x v="119"/>
    <x v="143"/>
    <n v="1964"/>
    <n v="5"/>
    <n v="15"/>
    <n v="116.48"/>
    <n v="246489245495"/>
    <n v="79"/>
    <n v="14.9"/>
    <n v="46.1"/>
    <n v="10669709"/>
    <n v="62.378514623440964"/>
    <d v="2026-10-01T00:00:00"/>
    <d v="1964-05-15T00:00:00"/>
  </r>
  <r>
    <n v="268"/>
    <x v="3"/>
    <x v="251"/>
    <x v="1"/>
    <s v="Miami Beach"/>
    <s v="Private equity"/>
    <x v="3"/>
    <x v="1"/>
    <x v="0"/>
    <s v="Bravo"/>
    <x v="208"/>
    <x v="144"/>
    <n v="1970"/>
    <n v="9"/>
    <n v="23"/>
    <n v="117.24"/>
    <n v="21427700000000"/>
    <n v="78.5"/>
    <n v="9.6"/>
    <n v="36.6"/>
    <n v="328239523"/>
    <n v="56.022575531965991"/>
    <d v="2026-10-01T00:00:00"/>
    <d v="1970-09-23T00:00:00"/>
  </r>
  <r>
    <n v="268"/>
    <x v="0"/>
    <x v="252"/>
    <x v="5"/>
    <s v="Quanzhou"/>
    <s v="Sports apparel"/>
    <x v="0"/>
    <x v="1"/>
    <x v="0"/>
    <s v="Ding"/>
    <x v="209"/>
    <x v="144"/>
    <n v="1970"/>
    <n v="12"/>
    <n v="1"/>
    <n v="125.08"/>
    <n v="19910000000000"/>
    <n v="77"/>
    <n v="9.4"/>
    <n v="59.2"/>
    <n v="1397715000"/>
    <n v="55.833661559152695"/>
    <d v="2026-10-01T00:00:00"/>
    <d v="1970-12-01T00:00:00"/>
  </r>
  <r>
    <n v="268"/>
    <x v="0"/>
    <x v="253"/>
    <x v="1"/>
    <s v="Henderson"/>
    <s v="Walmart"/>
    <x v="0"/>
    <x v="0"/>
    <x v="1"/>
    <s v="Laurie"/>
    <x v="210"/>
    <x v="144"/>
    <n v="1951"/>
    <n v="5"/>
    <n v="15"/>
    <n v="117.24"/>
    <n v="21427700000000"/>
    <n v="78.5"/>
    <n v="9.6"/>
    <n v="36.6"/>
    <n v="328239523"/>
    <n v="75.381245722108147"/>
    <d v="2026-10-01T00:00:00"/>
    <d v="1951-05-15T00:00:00"/>
  </r>
  <r>
    <n v="268"/>
    <x v="2"/>
    <x v="254"/>
    <x v="28"/>
    <s v="Seoul"/>
    <s v="Samsung"/>
    <x v="2"/>
    <x v="0"/>
    <x v="0"/>
    <s v="Lee"/>
    <x v="211"/>
    <x v="144"/>
    <n v="1968"/>
    <n v="6"/>
    <n v="23"/>
    <n v="115.16"/>
    <n v="2029000000000"/>
    <n v="82.6"/>
    <n v="15.6"/>
    <n v="33.200000000000003"/>
    <n v="51709098"/>
    <n v="58.27174013921114"/>
    <d v="2026-10-01T00:00:00"/>
    <d v="1968-06-23T00:00:00"/>
  </r>
  <r>
    <n v="268"/>
    <x v="3"/>
    <x v="255"/>
    <x v="1"/>
    <s v="New York"/>
    <s v="Private equity"/>
    <x v="3"/>
    <x v="1"/>
    <x v="0"/>
    <s v="Musallam"/>
    <x v="212"/>
    <x v="144"/>
    <n v="1968"/>
    <n v="9"/>
    <n v="17"/>
    <n v="117.24"/>
    <n v="21427700000000"/>
    <n v="78.5"/>
    <n v="9.6"/>
    <n v="36.6"/>
    <n v="328239523"/>
    <n v="58.036287703016242"/>
    <d v="2026-10-01T00:00:00"/>
    <d v="1968-09-17T00:00:00"/>
  </r>
  <r>
    <n v="268"/>
    <x v="3"/>
    <x v="256"/>
    <x v="1"/>
    <s v="New York"/>
    <s v="Hedge funds"/>
    <x v="3"/>
    <x v="1"/>
    <x v="0"/>
    <s v="Shaw"/>
    <x v="20"/>
    <x v="144"/>
    <n v="1951"/>
    <n v="3"/>
    <n v="29"/>
    <n v="117.24"/>
    <n v="21427700000000"/>
    <n v="78.5"/>
    <n v="9.6"/>
    <n v="36.6"/>
    <n v="328239523"/>
    <n v="75.509924709103359"/>
    <d v="2026-10-01T00:00:00"/>
    <d v="1951-03-29T00:00:00"/>
  </r>
  <r>
    <n v="268"/>
    <x v="11"/>
    <x v="257"/>
    <x v="16"/>
    <s v="Moscow"/>
    <s v="Metals and mining"/>
    <x v="11"/>
    <x v="1"/>
    <x v="0"/>
    <s v="Skoch &amp; family"/>
    <x v="152"/>
    <x v="144"/>
    <n v="1966"/>
    <n v="1"/>
    <n v="30"/>
    <n v="180.75"/>
    <n v="1699876578871"/>
    <n v="72.7"/>
    <n v="11.4"/>
    <n v="46.2"/>
    <n v="144373535"/>
    <n v="60.66871633752244"/>
    <d v="2026-10-01T00:00:00"/>
    <d v="1966-01-30T00:00:00"/>
  </r>
  <r>
    <n v="268"/>
    <x v="6"/>
    <x v="258"/>
    <x v="10"/>
    <s v="Vienna"/>
    <s v="Real estate, construction"/>
    <x v="6"/>
    <x v="1"/>
    <x v="0"/>
    <s v="Stumpf"/>
    <x v="139"/>
    <x v="144"/>
    <n v="1972"/>
    <n v="9"/>
    <n v="14"/>
    <n v="118.06"/>
    <n v="446314739528"/>
    <n v="81.599999999999994"/>
    <n v="25.4"/>
    <n v="51.4"/>
    <n v="8877067"/>
    <n v="54.044501966250188"/>
    <d v="2026-10-01T00:00:00"/>
    <d v="1972-09-14T00:00:00"/>
  </r>
  <r>
    <n v="276"/>
    <x v="5"/>
    <x v="259"/>
    <x v="1"/>
    <s v="Saddle River"/>
    <s v="Telecom"/>
    <x v="5"/>
    <x v="1"/>
    <x v="0"/>
    <s v="Commisso"/>
    <x v="213"/>
    <x v="145"/>
    <n v="1949"/>
    <n v="11"/>
    <n v="25"/>
    <n v="117.24"/>
    <n v="21427700000000"/>
    <n v="78.5"/>
    <n v="9.6"/>
    <n v="36.6"/>
    <n v="328239523"/>
    <n v="76.850082487977815"/>
    <d v="2026-10-01T00:00:00"/>
    <d v="1949-11-25T00:00:00"/>
  </r>
  <r>
    <n v="276"/>
    <x v="10"/>
    <x v="260"/>
    <x v="5"/>
    <s v="Hangzhou"/>
    <s v="Petrochemicals"/>
    <x v="10"/>
    <x v="1"/>
    <x v="0"/>
    <s v="Li"/>
    <x v="214"/>
    <x v="145"/>
    <n v="1956"/>
    <n v="7"/>
    <n v="1"/>
    <n v="125.08"/>
    <n v="19910000000000"/>
    <n v="77"/>
    <n v="9.4"/>
    <n v="59.2"/>
    <n v="1397715000"/>
    <n v="70.249836116145445"/>
    <d v="2026-10-01T00:00:00"/>
    <d v="1956-07-01T00:00:00"/>
  </r>
  <r>
    <n v="276"/>
    <x v="2"/>
    <x v="261"/>
    <x v="5"/>
    <s v="Shanghai"/>
    <s v="Financial information"/>
    <x v="2"/>
    <x v="1"/>
    <x v="0"/>
    <s v="Qi"/>
    <x v="215"/>
    <x v="145"/>
    <n v="1970"/>
    <n v="1"/>
    <n v="3"/>
    <n v="125.08"/>
    <n v="19910000000000"/>
    <n v="77"/>
    <n v="9.4"/>
    <n v="59.2"/>
    <n v="1397715000"/>
    <n v="56.742638935587685"/>
    <d v="2026-10-01T00:00:00"/>
    <d v="1970-01-03T00:00:00"/>
  </r>
  <r>
    <n v="276"/>
    <x v="10"/>
    <x v="262"/>
    <x v="5"/>
    <s v="Guangzhou"/>
    <s v="Furniture"/>
    <x v="10"/>
    <x v="1"/>
    <x v="0"/>
    <s v="Yao"/>
    <x v="216"/>
    <x v="145"/>
    <n v="1964"/>
    <n v="8"/>
    <n v="1"/>
    <n v="125.08"/>
    <n v="19910000000000"/>
    <n v="77"/>
    <n v="9.4"/>
    <n v="59.2"/>
    <n v="1397715000"/>
    <n v="62.164964582156358"/>
    <d v="2026-10-01T00:00:00"/>
    <d v="1964-08-01T00:00:00"/>
  </r>
  <r>
    <n v="282"/>
    <x v="7"/>
    <x v="263"/>
    <x v="0"/>
    <s v="Laval"/>
    <s v="Cheese"/>
    <x v="7"/>
    <x v="0"/>
    <x v="0"/>
    <s v="Besnier"/>
    <x v="217"/>
    <x v="146"/>
    <n v="1967"/>
    <n v="6"/>
    <n v="5"/>
    <n v="110.05"/>
    <n v="2715518274227"/>
    <n v="82.5"/>
    <n v="24.2"/>
    <n v="60.7"/>
    <n v="67059887"/>
    <n v="59.323750855578368"/>
    <d v="2026-10-01T00:00:00"/>
    <d v="1967-06-05T00:00:00"/>
  </r>
  <r>
    <n v="282"/>
    <x v="7"/>
    <x v="264"/>
    <x v="0"/>
    <s v="Laval"/>
    <s v="Cheese"/>
    <x v="7"/>
    <x v="0"/>
    <x v="1"/>
    <s v="Besnier Beauvalot"/>
    <x v="218"/>
    <x v="146"/>
    <n v="1980"/>
    <n v="7"/>
    <n v="30"/>
    <n v="110.05"/>
    <n v="2715518274227"/>
    <n v="82.5"/>
    <n v="24.2"/>
    <n v="60.7"/>
    <n v="67059887"/>
    <n v="46.170443292363252"/>
    <d v="2026-10-01T00:00:00"/>
    <d v="1980-07-30T00:00:00"/>
  </r>
  <r>
    <n v="282"/>
    <x v="4"/>
    <x v="265"/>
    <x v="1"/>
    <s v="Beverly Hills"/>
    <s v="Movies, record labels"/>
    <x v="4"/>
    <x v="1"/>
    <x v="0"/>
    <s v="Geffen"/>
    <x v="20"/>
    <x v="146"/>
    <n v="1943"/>
    <n v="2"/>
    <n v="21"/>
    <n v="117.24"/>
    <n v="21427700000000"/>
    <n v="78.5"/>
    <n v="9.6"/>
    <n v="36.6"/>
    <n v="328239523"/>
    <n v="83.60848733744011"/>
    <d v="2026-10-01T00:00:00"/>
    <d v="1943-02-21T00:00:00"/>
  </r>
  <r>
    <n v="282"/>
    <x v="2"/>
    <x v="266"/>
    <x v="5"/>
    <s v="Beijing"/>
    <s v="Internet search"/>
    <x v="2"/>
    <x v="1"/>
    <x v="0"/>
    <s v="Li"/>
    <x v="33"/>
    <x v="146"/>
    <n v="1968"/>
    <n v="11"/>
    <n v="17"/>
    <n v="125.08"/>
    <n v="19910000000000"/>
    <n v="77"/>
    <n v="9.4"/>
    <n v="59.2"/>
    <n v="1397715000"/>
    <n v="57.869280742459395"/>
    <d v="2026-10-01T00:00:00"/>
    <d v="1968-11-17T00:00:00"/>
  </r>
  <r>
    <n v="282"/>
    <x v="14"/>
    <x v="267"/>
    <x v="5"/>
    <s v="Chengdu"/>
    <s v="Agribusiness"/>
    <x v="14"/>
    <x v="1"/>
    <x v="0"/>
    <s v="Liu"/>
    <x v="219"/>
    <x v="146"/>
    <n v="1951"/>
    <n v="9"/>
    <n v="1"/>
    <n v="125.08"/>
    <n v="19910000000000"/>
    <n v="77"/>
    <n v="9.4"/>
    <n v="59.2"/>
    <n v="1397715000"/>
    <n v="75.082819986310753"/>
    <d v="2026-10-01T00:00:00"/>
    <d v="1951-09-01T00:00:00"/>
  </r>
  <r>
    <n v="282"/>
    <x v="2"/>
    <x v="268"/>
    <x v="1"/>
    <s v="Newport Beach"/>
    <s v="Semiconductors"/>
    <x v="2"/>
    <x v="1"/>
    <x v="0"/>
    <s v="Samueli"/>
    <x v="220"/>
    <x v="146"/>
    <n v="1954"/>
    <n v="9"/>
    <n v="20"/>
    <n v="117.24"/>
    <n v="21427700000000"/>
    <n v="78.5"/>
    <n v="9.6"/>
    <n v="36.6"/>
    <n v="328239523"/>
    <n v="72.03079173386341"/>
    <d v="2026-10-01T00:00:00"/>
    <d v="1954-09-20T00:00:00"/>
  </r>
  <r>
    <n v="282"/>
    <x v="13"/>
    <x v="269"/>
    <x v="1"/>
    <s v="Naples"/>
    <s v="Medical devices"/>
    <x v="13"/>
    <x v="1"/>
    <x v="0"/>
    <s v="Schmieding"/>
    <x v="41"/>
    <x v="146"/>
    <n v="1955"/>
    <n v="1"/>
    <n v="3"/>
    <n v="117.24"/>
    <n v="21427700000000"/>
    <n v="78.5"/>
    <n v="9.6"/>
    <n v="36.6"/>
    <n v="328239523"/>
    <n v="71.742642026009577"/>
    <d v="2026-10-01T00:00:00"/>
    <d v="1955-01-03T00:00:00"/>
  </r>
  <r>
    <n v="282"/>
    <x v="15"/>
    <x v="270"/>
    <x v="31"/>
    <s v="Oslo"/>
    <s v="Real estate"/>
    <x v="15"/>
    <x v="1"/>
    <x v="0"/>
    <s v="Tollefsen"/>
    <x v="221"/>
    <x v="146"/>
    <n v="1961"/>
    <n v="6"/>
    <n v="23"/>
    <n v="120.27"/>
    <n v="403336363636"/>
    <n v="82.8"/>
    <n v="23.9"/>
    <n v="36.200000000000003"/>
    <n v="5347896"/>
    <n v="65.274454492657426"/>
    <d v="2026-10-01T00:00:00"/>
    <d v="1961-06-23T00:00:00"/>
  </r>
  <r>
    <n v="290"/>
    <x v="12"/>
    <x v="271"/>
    <x v="5"/>
    <s v="Hefei"/>
    <s v="Photovoltaic equipment"/>
    <x v="12"/>
    <x v="1"/>
    <x v="0"/>
    <s v="Cao"/>
    <x v="222"/>
    <x v="147"/>
    <n v="1968"/>
    <n v="7"/>
    <n v="24"/>
    <n v="125.08"/>
    <n v="19910000000000"/>
    <n v="77"/>
    <n v="9.4"/>
    <n v="59.2"/>
    <n v="1397715000"/>
    <n v="58.186867749419953"/>
    <d v="2026-10-01T00:00:00"/>
    <d v="1968-07-24T00:00:00"/>
  </r>
  <r>
    <n v="290"/>
    <x v="13"/>
    <x v="272"/>
    <x v="3"/>
    <s v="Ahmedabad"/>
    <s v="Pharmaceuticals"/>
    <x v="13"/>
    <x v="1"/>
    <x v="0"/>
    <s v="Chudgar"/>
    <x v="223"/>
    <x v="147"/>
    <n v="1933"/>
    <n v="9"/>
    <n v="19"/>
    <n v="180.44"/>
    <n v="2611000000000"/>
    <n v="69.400000000000006"/>
    <n v="11.2"/>
    <n v="49.7"/>
    <n v="1366417754"/>
    <n v="93.033524597326192"/>
    <d v="2026-10-01T00:00:00"/>
    <d v="1933-09-19T00:00:00"/>
  </r>
  <r>
    <n v="290"/>
    <x v="10"/>
    <x v="273"/>
    <x v="12"/>
    <s v="London"/>
    <s v="Chemicals"/>
    <x v="10"/>
    <x v="1"/>
    <x v="0"/>
    <s v="Currie"/>
    <x v="71"/>
    <x v="147"/>
    <n v="1955"/>
    <n v="12"/>
    <n v="4"/>
    <n v="119.62"/>
    <n v="2827113184696"/>
    <n v="81.3"/>
    <n v="25.5"/>
    <n v="30.6"/>
    <n v="66834405"/>
    <n v="70.82546201232033"/>
    <d v="2026-10-01T00:00:00"/>
    <d v="1955-12-04T00:00:00"/>
  </r>
  <r>
    <n v="290"/>
    <x v="2"/>
    <x v="274"/>
    <x v="1"/>
    <s v="Austin"/>
    <s v="Airbnb"/>
    <x v="2"/>
    <x v="1"/>
    <x v="0"/>
    <s v="Gebbia"/>
    <x v="224"/>
    <x v="147"/>
    <n v="1981"/>
    <n v="8"/>
    <n v="21"/>
    <n v="117.24"/>
    <n v="21427700000000"/>
    <n v="78.5"/>
    <n v="9.6"/>
    <n v="36.6"/>
    <n v="328239523"/>
    <n v="45.112909945836556"/>
    <d v="2026-10-01T00:00:00"/>
    <d v="1981-08-21T00:00:00"/>
  </r>
  <r>
    <n v="290"/>
    <x v="15"/>
    <x v="275"/>
    <x v="21"/>
    <s v="Singapore"/>
    <s v="Real Estate"/>
    <x v="15"/>
    <x v="0"/>
    <x v="0"/>
    <s v="Ng"/>
    <x v="128"/>
    <x v="147"/>
    <n v="1959"/>
    <n v="1"/>
    <n v="1"/>
    <n v="114.41"/>
    <n v="372062527489"/>
    <n v="83.1"/>
    <n v="13.1"/>
    <n v="21"/>
    <n v="5703569"/>
    <n v="67.748117727583846"/>
    <d v="2026-10-01T00:00:00"/>
    <d v="1959-01-01T00:00:00"/>
  </r>
  <r>
    <n v="290"/>
    <x v="10"/>
    <x v="276"/>
    <x v="12"/>
    <s v="London"/>
    <s v="Chemicals"/>
    <x v="10"/>
    <x v="1"/>
    <x v="0"/>
    <s v="Reece"/>
    <x v="29"/>
    <x v="147"/>
    <n v="1957"/>
    <n v="3"/>
    <n v="7"/>
    <n v="119.62"/>
    <n v="2827113184696"/>
    <n v="81.3"/>
    <n v="25.5"/>
    <n v="30.6"/>
    <n v="66834405"/>
    <n v="69.570149020221379"/>
    <d v="2026-10-01T00:00:00"/>
    <d v="1957-03-07T00:00:00"/>
  </r>
  <r>
    <n v="290"/>
    <x v="15"/>
    <x v="277"/>
    <x v="1"/>
    <s v="New York"/>
    <s v="Real estate"/>
    <x v="15"/>
    <x v="0"/>
    <x v="0"/>
    <s v="Stern"/>
    <x v="67"/>
    <x v="147"/>
    <n v="1938"/>
    <n v="3"/>
    <n v="28"/>
    <n v="117.24"/>
    <n v="21427700000000"/>
    <n v="78.5"/>
    <n v="9.6"/>
    <n v="36.6"/>
    <n v="328239523"/>
    <n v="88.512658811948199"/>
    <d v="2026-10-01T00:00:00"/>
    <d v="1938-03-28T00:00:00"/>
  </r>
  <r>
    <n v="290"/>
    <x v="13"/>
    <x v="278"/>
    <x v="5"/>
    <s v="Shanghai"/>
    <s v="Pharmaceuticals"/>
    <x v="13"/>
    <x v="1"/>
    <x v="1"/>
    <s v="Zhong"/>
    <x v="225"/>
    <x v="147"/>
    <n v="1961"/>
    <n v="1"/>
    <n v="1"/>
    <n v="125.08"/>
    <n v="19910000000000"/>
    <n v="77"/>
    <n v="9.4"/>
    <n v="59.2"/>
    <n v="1397715000"/>
    <n v="65.748112503111258"/>
    <d v="2026-10-01T00:00:00"/>
    <d v="1961-01-01T00:00:00"/>
  </r>
  <r>
    <n v="299"/>
    <x v="17"/>
    <x v="279"/>
    <x v="1"/>
    <s v="Atlanta"/>
    <s v="Home Depot"/>
    <x v="17"/>
    <x v="1"/>
    <x v="0"/>
    <s v="Blank"/>
    <x v="226"/>
    <x v="148"/>
    <n v="1942"/>
    <n v="9"/>
    <n v="27"/>
    <n v="117.24"/>
    <n v="21427700000000"/>
    <n v="78.5"/>
    <n v="9.6"/>
    <n v="36.6"/>
    <n v="328239523"/>
    <n v="84.011627906976742"/>
    <d v="2026-10-01T00:00:00"/>
    <d v="1942-09-27T00:00:00"/>
  </r>
  <r>
    <n v="299"/>
    <x v="0"/>
    <x v="280"/>
    <x v="1"/>
    <s v="San Antonio"/>
    <s v="Supermarkets"/>
    <x v="0"/>
    <x v="0"/>
    <x v="0"/>
    <s v="Butt"/>
    <x v="15"/>
    <x v="148"/>
    <n v="1938"/>
    <n v="2"/>
    <n v="3"/>
    <n v="117.24"/>
    <n v="21427700000000"/>
    <n v="78.5"/>
    <n v="9.6"/>
    <n v="36.6"/>
    <n v="328239523"/>
    <n v="88.65776601962655"/>
    <d v="2026-10-01T00:00:00"/>
    <d v="1938-02-03T00:00:00"/>
  </r>
  <r>
    <n v="299"/>
    <x v="0"/>
    <x v="281"/>
    <x v="5"/>
    <s v="Quanzhou"/>
    <s v="Sports apparel"/>
    <x v="0"/>
    <x v="1"/>
    <x v="0"/>
    <s v="Ding"/>
    <x v="227"/>
    <x v="148"/>
    <n v="1964"/>
    <n v="1"/>
    <n v="1"/>
    <n v="125.08"/>
    <n v="19910000000000"/>
    <n v="77"/>
    <n v="9.4"/>
    <n v="59.2"/>
    <n v="1397715000"/>
    <n v="62.748120464125854"/>
    <d v="2026-10-01T00:00:00"/>
    <d v="1964-01-01T00:00:00"/>
  </r>
  <r>
    <n v="299"/>
    <x v="3"/>
    <x v="282"/>
    <x v="1"/>
    <s v="Palm Beach"/>
    <s v="Hedge funds"/>
    <x v="3"/>
    <x v="1"/>
    <x v="0"/>
    <s v="Jones"/>
    <x v="228"/>
    <x v="148"/>
    <n v="1954"/>
    <n v="9"/>
    <n v="28"/>
    <n v="117.24"/>
    <n v="21427700000000"/>
    <n v="78.5"/>
    <n v="9.6"/>
    <n v="36.6"/>
    <n v="328239523"/>
    <n v="72.008888722199302"/>
    <d v="2026-10-01T00:00:00"/>
    <d v="1954-09-28T00:00:00"/>
  </r>
  <r>
    <n v="299"/>
    <x v="3"/>
    <x v="283"/>
    <x v="1"/>
    <s v="New York"/>
    <s v="Private equity"/>
    <x v="3"/>
    <x v="1"/>
    <x v="0"/>
    <s v="Kravis"/>
    <x v="220"/>
    <x v="148"/>
    <n v="1944"/>
    <n v="1"/>
    <n v="6"/>
    <n v="117.24"/>
    <n v="21427700000000"/>
    <n v="78.5"/>
    <n v="9.6"/>
    <n v="36.6"/>
    <n v="328239523"/>
    <n v="82.734430663675951"/>
    <d v="2026-10-01T00:00:00"/>
    <d v="1944-01-06T00:00:00"/>
  </r>
  <r>
    <n v="299"/>
    <x v="7"/>
    <x v="284"/>
    <x v="21"/>
    <s v="Singapore"/>
    <s v="Restaurants"/>
    <x v="7"/>
    <x v="1"/>
    <x v="0"/>
    <s v="Zhang"/>
    <x v="229"/>
    <x v="148"/>
    <n v="1970"/>
    <n v="7"/>
    <n v="1"/>
    <n v="114.41"/>
    <n v="372062527489"/>
    <n v="83.1"/>
    <n v="13.1"/>
    <n v="21"/>
    <n v="5703569"/>
    <n v="56.2525577597387"/>
    <d v="2026-10-01T00:00:00"/>
    <d v="1970-07-01T00:00:00"/>
  </r>
  <r>
    <n v="305"/>
    <x v="2"/>
    <x v="285"/>
    <x v="1"/>
    <s v="Cary"/>
    <s v="Software"/>
    <x v="2"/>
    <x v="1"/>
    <x v="0"/>
    <s v="Goodnight"/>
    <x v="58"/>
    <x v="149"/>
    <n v="1943"/>
    <n v="1"/>
    <n v="6"/>
    <n v="117.24"/>
    <n v="21427700000000"/>
    <n v="78.5"/>
    <n v="9.6"/>
    <n v="36.6"/>
    <n v="328239523"/>
    <n v="83.73442847364818"/>
    <d v="2026-10-01T00:00:00"/>
    <d v="1943-01-06T00:00:00"/>
  </r>
  <r>
    <n v="305"/>
    <x v="10"/>
    <x v="286"/>
    <x v="12"/>
    <s v="London"/>
    <s v="Petrochemicals"/>
    <x v="10"/>
    <x v="0"/>
    <x v="0"/>
    <s v="Lohia"/>
    <x v="230"/>
    <x v="149"/>
    <n v="1952"/>
    <n v="8"/>
    <n v="11"/>
    <n v="119.62"/>
    <n v="2827113184696"/>
    <n v="81.3"/>
    <n v="25.5"/>
    <n v="30.6"/>
    <n v="66834405"/>
    <n v="74.137584872599845"/>
    <d v="2026-10-01T00:00:00"/>
    <d v="1952-08-11T00:00:00"/>
  </r>
  <r>
    <n v="305"/>
    <x v="0"/>
    <x v="287"/>
    <x v="5"/>
    <s v="Ningbo"/>
    <s v="Textiles, apparel"/>
    <x v="0"/>
    <x v="1"/>
    <x v="0"/>
    <s v="Ma"/>
    <x v="231"/>
    <x v="149"/>
    <n v="1964"/>
    <n v="1"/>
    <n v="1"/>
    <n v="125.08"/>
    <n v="19910000000000"/>
    <n v="77"/>
    <n v="9.4"/>
    <n v="59.2"/>
    <n v="1397715000"/>
    <n v="62.748120464125854"/>
    <d v="2026-10-01T00:00:00"/>
    <d v="1964-01-01T00:00:00"/>
  </r>
  <r>
    <n v="305"/>
    <x v="15"/>
    <x v="288"/>
    <x v="21"/>
    <s v="Singapore"/>
    <s v="Real estate"/>
    <x v="15"/>
    <x v="0"/>
    <x v="0"/>
    <s v="Ng"/>
    <x v="92"/>
    <x v="149"/>
    <n v="1952"/>
    <n v="1"/>
    <n v="1"/>
    <n v="114.41"/>
    <n v="372062527489"/>
    <n v="83.1"/>
    <n v="13.1"/>
    <n v="21"/>
    <n v="5703569"/>
    <n v="74.748120026283132"/>
    <d v="2026-10-01T00:00:00"/>
    <d v="1952-01-01T00:00:00"/>
  </r>
  <r>
    <n v="305"/>
    <x v="10"/>
    <x v="289"/>
    <x v="1"/>
    <s v="Santa Barbara"/>
    <s v="Manufacturing, investments"/>
    <x v="10"/>
    <x v="1"/>
    <x v="0"/>
    <s v="Rales"/>
    <x v="232"/>
    <x v="149"/>
    <n v="1951"/>
    <n v="3"/>
    <n v="31"/>
    <n v="117.24"/>
    <n v="21427700000000"/>
    <n v="78.5"/>
    <n v="9.6"/>
    <n v="36.6"/>
    <n v="328239523"/>
    <n v="75.504449007529089"/>
    <d v="2026-10-01T00:00:00"/>
    <d v="1951-03-31T00:00:00"/>
  </r>
  <r>
    <n v="305"/>
    <x v="16"/>
    <x v="290"/>
    <x v="32"/>
    <s v="Cairo"/>
    <s v="Construction, investments"/>
    <x v="16"/>
    <x v="0"/>
    <x v="0"/>
    <s v="Sawiris"/>
    <x v="233"/>
    <x v="149"/>
    <n v="1961"/>
    <n v="1"/>
    <n v="19"/>
    <n v="288.57"/>
    <n v="303175127598"/>
    <n v="71.8"/>
    <n v="12.5"/>
    <n v="44.4"/>
    <n v="100388073"/>
    <n v="65.698830166763457"/>
    <d v="2026-10-01T00:00:00"/>
    <d v="1961-01-19T00:00:00"/>
  </r>
  <r>
    <n v="305"/>
    <x v="7"/>
    <x v="291"/>
    <x v="1"/>
    <s v="Adel"/>
    <s v="Agriculture"/>
    <x v="7"/>
    <x v="1"/>
    <x v="0"/>
    <s v="Stine"/>
    <x v="110"/>
    <x v="149"/>
    <n v="1941"/>
    <n v="11"/>
    <n v="30"/>
    <n v="117.24"/>
    <n v="21427700000000"/>
    <n v="78.5"/>
    <n v="9.6"/>
    <n v="36.6"/>
    <n v="328239523"/>
    <n v="84.83639489350864"/>
    <d v="2026-10-01T00:00:00"/>
    <d v="1941-11-30T00:00:00"/>
  </r>
  <r>
    <n v="312"/>
    <x v="10"/>
    <x v="292"/>
    <x v="3"/>
    <s v="Kolkata"/>
    <s v="Cement"/>
    <x v="10"/>
    <x v="0"/>
    <x v="0"/>
    <s v="Bangur"/>
    <x v="234"/>
    <x v="150"/>
    <n v="1931"/>
    <n v="6"/>
    <n v="1"/>
    <n v="180.44"/>
    <n v="2611000000000"/>
    <n v="69.400000000000006"/>
    <n v="11.2"/>
    <n v="49.7"/>
    <n v="1366417754"/>
    <n v="95.334702258726892"/>
    <d v="2026-10-01T00:00:00"/>
    <d v="1931-06-01T00:00:00"/>
  </r>
  <r>
    <n v="312"/>
    <x v="11"/>
    <x v="293"/>
    <x v="16"/>
    <s v="Moscow"/>
    <s v="Mining, metals, machinery"/>
    <x v="11"/>
    <x v="1"/>
    <x v="0"/>
    <s v="Makhmudov"/>
    <x v="235"/>
    <x v="150"/>
    <n v="1963"/>
    <n v="12"/>
    <n v="5"/>
    <n v="180.75"/>
    <n v="1699876578871"/>
    <n v="72.7"/>
    <n v="11.4"/>
    <n v="46.2"/>
    <n v="144373535"/>
    <n v="62.822724161533195"/>
    <d v="2026-10-01T00:00:00"/>
    <d v="1963-12-05T00:00:00"/>
  </r>
  <r>
    <n v="312"/>
    <x v="0"/>
    <x v="294"/>
    <x v="33"/>
    <s v="Aarhus"/>
    <s v="Fashion retail"/>
    <x v="0"/>
    <x v="0"/>
    <x v="0"/>
    <s v="Povlsen"/>
    <x v="236"/>
    <x v="150"/>
    <n v="1972"/>
    <n v="11"/>
    <n v="4"/>
    <n v="110.35"/>
    <n v="348078018464"/>
    <n v="81"/>
    <n v="32.4"/>
    <n v="23.8"/>
    <n v="5818553"/>
    <n v="53.904873313753797"/>
    <d v="2026-10-01T00:00:00"/>
    <d v="1972-11-04T00:00:00"/>
  </r>
  <r>
    <n v="312"/>
    <x v="8"/>
    <x v="295"/>
    <x v="30"/>
    <s v="Manila"/>
    <s v="Ports"/>
    <x v="8"/>
    <x v="0"/>
    <x v="0"/>
    <s v="Razon Jr."/>
    <x v="237"/>
    <x v="150"/>
    <n v="1960"/>
    <n v="3"/>
    <n v="3"/>
    <n v="129.61000000000001"/>
    <n v="376795508680"/>
    <n v="71.099999999999994"/>
    <n v="14"/>
    <n v="43.1"/>
    <n v="108116615"/>
    <n v="66.578375286041194"/>
    <d v="2026-10-01T00:00:00"/>
    <d v="1960-03-03T00:00:00"/>
  </r>
  <r>
    <n v="312"/>
    <x v="2"/>
    <x v="296"/>
    <x v="5"/>
    <s v="Shenzhen"/>
    <s v="Electronics components"/>
    <x v="2"/>
    <x v="1"/>
    <x v="1"/>
    <s v="Wang"/>
    <x v="238"/>
    <x v="150"/>
    <n v="1967"/>
    <n v="6"/>
    <n v="3"/>
    <n v="125.08"/>
    <n v="19910000000000"/>
    <n v="77"/>
    <n v="9.4"/>
    <n v="59.2"/>
    <n v="1397715000"/>
    <n v="59.329226557152637"/>
    <d v="2026-10-01T00:00:00"/>
    <d v="1967-06-03T00:00:00"/>
  </r>
  <r>
    <n v="317"/>
    <x v="3"/>
    <x v="297"/>
    <x v="1"/>
    <s v="Gladwyne"/>
    <s v="Trading, investments"/>
    <x v="3"/>
    <x v="1"/>
    <x v="0"/>
    <s v="Dantchik"/>
    <x v="226"/>
    <x v="151"/>
    <n v="1957"/>
    <n v="11"/>
    <n v="25"/>
    <n v="117.24"/>
    <n v="21427700000000"/>
    <n v="78.5"/>
    <n v="9.6"/>
    <n v="36.6"/>
    <n v="328239523"/>
    <n v="68.850080181483946"/>
    <d v="2026-10-01T00:00:00"/>
    <d v="1957-11-25T00:00:00"/>
  </r>
  <r>
    <n v="317"/>
    <x v="15"/>
    <x v="298"/>
    <x v="1"/>
    <s v="Palm Beach"/>
    <s v="Real estate, investments"/>
    <x v="15"/>
    <x v="1"/>
    <x v="0"/>
    <s v="Greene"/>
    <x v="2"/>
    <x v="151"/>
    <n v="1954"/>
    <n v="12"/>
    <n v="10"/>
    <n v="117.24"/>
    <n v="21427700000000"/>
    <n v="78.5"/>
    <n v="9.6"/>
    <n v="36.6"/>
    <n v="328239523"/>
    <n v="71.80902374076436"/>
    <d v="2026-10-01T00:00:00"/>
    <d v="1954-12-10T00:00:00"/>
  </r>
  <r>
    <n v="317"/>
    <x v="3"/>
    <x v="299"/>
    <x v="1"/>
    <s v="Malibu"/>
    <s v="Auto loans"/>
    <x v="3"/>
    <x v="1"/>
    <x v="0"/>
    <s v="Hankey"/>
    <x v="239"/>
    <x v="151"/>
    <n v="1943"/>
    <n v="6"/>
    <n v="13"/>
    <n v="117.24"/>
    <n v="21427700000000"/>
    <n v="78.5"/>
    <n v="9.6"/>
    <n v="36.6"/>
    <n v="328239523"/>
    <n v="83.301848049281318"/>
    <d v="2026-10-01T00:00:00"/>
    <d v="1943-06-13T00:00:00"/>
  </r>
  <r>
    <n v="317"/>
    <x v="12"/>
    <x v="300"/>
    <x v="1"/>
    <s v="Houston"/>
    <s v="Pipelines"/>
    <x v="12"/>
    <x v="1"/>
    <x v="0"/>
    <s v="Kinder"/>
    <x v="177"/>
    <x v="151"/>
    <n v="1944"/>
    <n v="10"/>
    <n v="19"/>
    <n v="117.24"/>
    <n v="21427700000000"/>
    <n v="78.5"/>
    <n v="9.6"/>
    <n v="36.6"/>
    <n v="328239523"/>
    <n v="81.948673967541893"/>
    <d v="2026-10-01T00:00:00"/>
    <d v="1944-10-19T00:00:00"/>
  </r>
  <r>
    <n v="317"/>
    <x v="3"/>
    <x v="301"/>
    <x v="15"/>
    <s v="Dubai"/>
    <s v="Fintech"/>
    <x v="3"/>
    <x v="1"/>
    <x v="0"/>
    <s v="Pousaz"/>
    <x v="240"/>
    <x v="151"/>
    <n v="1981"/>
    <n v="8"/>
    <n v="15"/>
    <n v="114.52"/>
    <n v="421142267938"/>
    <n v="77.8"/>
    <n v="0.1"/>
    <n v="15.9"/>
    <n v="9770529"/>
    <n v="45.129337539432171"/>
    <d v="2026-10-01T00:00:00"/>
    <d v="1981-08-15T00:00:00"/>
  </r>
  <r>
    <n v="317"/>
    <x v="0"/>
    <x v="302"/>
    <x v="11"/>
    <s v="Tokyo"/>
    <s v="Personal care goods"/>
    <x v="0"/>
    <x v="0"/>
    <x v="0"/>
    <s v="Takahara"/>
    <x v="241"/>
    <x v="151"/>
    <n v="1961"/>
    <n v="7"/>
    <n v="12"/>
    <n v="105.48"/>
    <n v="5081769542380"/>
    <n v="84.2"/>
    <n v="11.9"/>
    <n v="46.7"/>
    <n v="126226568"/>
    <n v="65.222434248734757"/>
    <d v="2026-10-01T00:00:00"/>
    <d v="1961-07-12T00:00:00"/>
  </r>
  <r>
    <n v="317"/>
    <x v="7"/>
    <x v="303"/>
    <x v="5"/>
    <s v="Hangzhou"/>
    <s v="Beverages"/>
    <x v="7"/>
    <x v="1"/>
    <x v="0"/>
    <s v="Zong"/>
    <x v="242"/>
    <x v="151"/>
    <n v="1945"/>
    <n v="10"/>
    <n v="1"/>
    <n v="125.08"/>
    <n v="19910000000000"/>
    <n v="77"/>
    <n v="9.4"/>
    <n v="59.2"/>
    <n v="1397715000"/>
    <n v="81.000667779632721"/>
    <d v="2026-10-01T00:00:00"/>
    <d v="1945-10-01T00:00:00"/>
  </r>
  <r>
    <n v="325"/>
    <x v="2"/>
    <x v="304"/>
    <x v="1"/>
    <s v="Madison"/>
    <s v="Healthcare software"/>
    <x v="2"/>
    <x v="1"/>
    <x v="1"/>
    <s v="Faulkner"/>
    <x v="129"/>
    <x v="152"/>
    <n v="1943"/>
    <n v="8"/>
    <n v="1"/>
    <n v="117.24"/>
    <n v="21427700000000"/>
    <n v="78.5"/>
    <n v="9.6"/>
    <n v="36.6"/>
    <n v="328239523"/>
    <n v="83.167693360711837"/>
    <d v="2026-10-01T00:00:00"/>
    <d v="1943-08-01T00:00:00"/>
  </r>
  <r>
    <n v="325"/>
    <x v="9"/>
    <x v="305"/>
    <x v="10"/>
    <s v="Vienna"/>
    <s v="Gambling"/>
    <x v="9"/>
    <x v="1"/>
    <x v="0"/>
    <s v="Graf"/>
    <x v="126"/>
    <x v="152"/>
    <n v="1947"/>
    <n v="1"/>
    <n v="3"/>
    <n v="118.06"/>
    <n v="446314739528"/>
    <n v="81.599999999999994"/>
    <n v="25.4"/>
    <n v="51.4"/>
    <n v="8877067"/>
    <n v="79.742642026009577"/>
    <d v="2026-10-01T00:00:00"/>
    <d v="1947-01-03T00:00:00"/>
  </r>
  <r>
    <n v="325"/>
    <x v="14"/>
    <x v="306"/>
    <x v="1"/>
    <s v="Lexington"/>
    <s v="Self storage"/>
    <x v="14"/>
    <x v="0"/>
    <x v="1"/>
    <s v="Gustavson"/>
    <x v="243"/>
    <x v="152"/>
    <n v="1961"/>
    <n v="11"/>
    <n v="16"/>
    <n v="117.24"/>
    <n v="21427700000000"/>
    <n v="78.5"/>
    <n v="9.6"/>
    <n v="36.6"/>
    <n v="328239523"/>
    <n v="64.874719986725296"/>
    <d v="2026-10-01T00:00:00"/>
    <d v="1961-11-16T00:00:00"/>
  </r>
  <r>
    <n v="325"/>
    <x v="10"/>
    <x v="307"/>
    <x v="5"/>
    <s v="Changsha"/>
    <s v="Construction equipment"/>
    <x v="10"/>
    <x v="1"/>
    <x v="0"/>
    <s v="Liang"/>
    <x v="244"/>
    <x v="152"/>
    <n v="1956"/>
    <n v="12"/>
    <n v="14"/>
    <n v="125.08"/>
    <n v="19910000000000"/>
    <n v="77"/>
    <n v="9.4"/>
    <n v="59.2"/>
    <n v="1397715000"/>
    <n v="69.79535726680291"/>
    <d v="2026-10-01T00:00:00"/>
    <d v="1956-12-14T00:00:00"/>
  </r>
  <r>
    <n v="325"/>
    <x v="13"/>
    <x v="308"/>
    <x v="8"/>
    <s v="Lausanne"/>
    <s v="Health care"/>
    <x v="13"/>
    <x v="0"/>
    <x v="0"/>
    <s v="Paulsen"/>
    <x v="245"/>
    <x v="152"/>
    <n v="1950"/>
    <n v="10"/>
    <n v="30"/>
    <n v="99.55"/>
    <n v="703082435360"/>
    <n v="83.6"/>
    <n v="10.1"/>
    <n v="28.8"/>
    <n v="8574832"/>
    <n v="75.92127720096714"/>
    <d v="2026-10-01T00:00:00"/>
    <d v="1950-10-30T00:00:00"/>
  </r>
  <r>
    <n v="325"/>
    <x v="3"/>
    <x v="309"/>
    <x v="21"/>
    <s v="Singapore"/>
    <s v="Banking"/>
    <x v="3"/>
    <x v="0"/>
    <x v="0"/>
    <s v="Wee"/>
    <x v="246"/>
    <x v="152"/>
    <n v="1929"/>
    <n v="1"/>
    <n v="10"/>
    <n v="114.41"/>
    <n v="372062527489"/>
    <n v="83.1"/>
    <n v="13.1"/>
    <n v="21"/>
    <n v="5703569"/>
    <n v="97.723473207800183"/>
    <d v="2026-10-01T00:00:00"/>
    <d v="1929-01-10T00:00:00"/>
  </r>
  <r>
    <n v="325"/>
    <x v="10"/>
    <x v="310"/>
    <x v="5"/>
    <s v="Ningbo"/>
    <s v="Electronics"/>
    <x v="10"/>
    <x v="1"/>
    <x v="0"/>
    <s v="Zhang"/>
    <x v="247"/>
    <x v="152"/>
    <n v="1952"/>
    <n v="1"/>
    <n v="1"/>
    <n v="125.08"/>
    <n v="19910000000000"/>
    <n v="77"/>
    <n v="9.4"/>
    <n v="59.2"/>
    <n v="1397715000"/>
    <n v="74.748120026283132"/>
    <d v="2026-10-01T00:00:00"/>
    <d v="1952-01-01T00:00:00"/>
  </r>
  <r>
    <n v="332"/>
    <x v="2"/>
    <x v="311"/>
    <x v="1"/>
    <s v="San Francisco"/>
    <s v="Business software"/>
    <x v="2"/>
    <x v="1"/>
    <x v="0"/>
    <s v="Benioff"/>
    <x v="248"/>
    <x v="153"/>
    <n v="1964"/>
    <n v="9"/>
    <n v="25"/>
    <n v="117.24"/>
    <n v="21427700000000"/>
    <n v="78.5"/>
    <n v="9.6"/>
    <n v="36.6"/>
    <n v="328239523"/>
    <n v="62.014384424840294"/>
    <d v="2026-10-01T00:00:00"/>
    <d v="1964-09-25T00:00:00"/>
  </r>
  <r>
    <n v="332"/>
    <x v="4"/>
    <x v="312"/>
    <x v="12"/>
    <s v="London"/>
    <s v="Online games"/>
    <x v="4"/>
    <x v="1"/>
    <x v="0"/>
    <s v="Bukhman"/>
    <x v="249"/>
    <x v="153"/>
    <n v="1985"/>
    <n v="5"/>
    <n v="27"/>
    <n v="119.62"/>
    <n v="2827113184696"/>
    <n v="81.3"/>
    <n v="25.5"/>
    <n v="30.6"/>
    <n v="66834405"/>
    <n v="41.348370273794004"/>
    <d v="2026-10-01T00:00:00"/>
    <d v="1985-05-27T00:00:00"/>
  </r>
  <r>
    <n v="332"/>
    <x v="4"/>
    <x v="313"/>
    <x v="12"/>
    <s v="London"/>
    <s v="Online games"/>
    <x v="4"/>
    <x v="1"/>
    <x v="0"/>
    <s v="Bukhman"/>
    <x v="250"/>
    <x v="153"/>
    <n v="1982"/>
    <n v="3"/>
    <n v="29"/>
    <n v="119.62"/>
    <n v="2827113184696"/>
    <n v="81.3"/>
    <n v="25.5"/>
    <n v="30.6"/>
    <n v="66834405"/>
    <n v="44.509917254806517"/>
    <d v="2026-10-01T00:00:00"/>
    <d v="1982-03-29T00:00:00"/>
  </r>
  <r>
    <n v="332"/>
    <x v="2"/>
    <x v="314"/>
    <x v="1"/>
    <s v="Redlands"/>
    <s v="Mapping software"/>
    <x v="2"/>
    <x v="1"/>
    <x v="0"/>
    <s v="Dangermond"/>
    <x v="55"/>
    <x v="153"/>
    <n v="1945"/>
    <n v="7"/>
    <n v="23"/>
    <n v="117.24"/>
    <n v="21427700000000"/>
    <n v="78.5"/>
    <n v="9.6"/>
    <n v="36.6"/>
    <n v="328239523"/>
    <n v="81.192320534223711"/>
    <d v="2026-10-01T00:00:00"/>
    <d v="1945-07-23T00:00:00"/>
  </r>
  <r>
    <n v="332"/>
    <x v="10"/>
    <x v="315"/>
    <x v="3"/>
    <s v="Mumbai"/>
    <s v="Paints"/>
    <x v="10"/>
    <x v="0"/>
    <x v="0"/>
    <s v="Dani"/>
    <x v="251"/>
    <x v="153"/>
    <n v="1942"/>
    <n v="10"/>
    <n v="24"/>
    <n v="180.44"/>
    <n v="2611000000000"/>
    <n v="69.400000000000006"/>
    <n v="11.2"/>
    <n v="49.7"/>
    <n v="1366417754"/>
    <n v="83.937705340462543"/>
    <d v="2026-10-01T00:00:00"/>
    <d v="1942-10-24T00:00:00"/>
  </r>
  <r>
    <n v="332"/>
    <x v="0"/>
    <x v="316"/>
    <x v="1"/>
    <s v="New York"/>
    <s v="Apparel"/>
    <x v="0"/>
    <x v="1"/>
    <x v="0"/>
    <s v="Lauren"/>
    <x v="252"/>
    <x v="153"/>
    <n v="1939"/>
    <n v="10"/>
    <n v="14"/>
    <n v="117.24"/>
    <n v="21427700000000"/>
    <n v="78.5"/>
    <n v="9.6"/>
    <n v="36.6"/>
    <n v="328239523"/>
    <n v="86.965092402464066"/>
    <d v="2026-10-01T00:00:00"/>
    <d v="1939-10-14T00:00:00"/>
  </r>
  <r>
    <n v="332"/>
    <x v="6"/>
    <x v="317"/>
    <x v="3"/>
    <s v="Mumbai"/>
    <s v="Diversified"/>
    <x v="6"/>
    <x v="0"/>
    <x v="1"/>
    <s v="Mistry"/>
    <x v="253"/>
    <x v="153"/>
    <n v="1967"/>
    <n v="6"/>
    <n v="6"/>
    <n v="180.44"/>
    <n v="2611000000000"/>
    <n v="69.400000000000006"/>
    <n v="11.2"/>
    <n v="49.7"/>
    <n v="1366417754"/>
    <n v="59.32101300479124"/>
    <d v="2026-10-01T00:00:00"/>
    <d v="1967-06-06T00:00:00"/>
  </r>
  <r>
    <n v="332"/>
    <x v="6"/>
    <x v="318"/>
    <x v="3"/>
    <s v="Mumbai"/>
    <s v="Diversified"/>
    <x v="6"/>
    <x v="0"/>
    <x v="0"/>
    <s v="Mistry"/>
    <x v="254"/>
    <x v="153"/>
    <n v="1964"/>
    <n v="9"/>
    <n v="6"/>
    <n v="180.44"/>
    <n v="2611000000000"/>
    <n v="69.400000000000006"/>
    <n v="11.2"/>
    <n v="49.7"/>
    <n v="1366417754"/>
    <n v="62.066403024640387"/>
    <d v="2026-10-01T00:00:00"/>
    <d v="1964-09-06T00:00:00"/>
  </r>
  <r>
    <n v="332"/>
    <x v="7"/>
    <x v="319"/>
    <x v="1"/>
    <s v="Hobe Sound"/>
    <s v="Food distribution"/>
    <x v="7"/>
    <x v="1"/>
    <x v="0"/>
    <s v="Reyes"/>
    <x v="255"/>
    <x v="153"/>
    <n v="1953"/>
    <n v="12"/>
    <n v="29"/>
    <n v="117.24"/>
    <n v="21427700000000"/>
    <n v="78.5"/>
    <n v="9.6"/>
    <n v="36.6"/>
    <n v="328239523"/>
    <n v="72.756992748261069"/>
    <d v="2026-10-01T00:00:00"/>
    <d v="1953-12-29T00:00:00"/>
  </r>
  <r>
    <n v="332"/>
    <x v="7"/>
    <x v="320"/>
    <x v="1"/>
    <s v="Palm Beach"/>
    <s v="Food distribution"/>
    <x v="7"/>
    <x v="1"/>
    <x v="0"/>
    <s v="Reyes"/>
    <x v="256"/>
    <x v="153"/>
    <n v="1955"/>
    <n v="9"/>
    <n v="16"/>
    <n v="117.24"/>
    <n v="21427700000000"/>
    <n v="78.5"/>
    <n v="9.6"/>
    <n v="36.6"/>
    <n v="328239523"/>
    <n v="71.041752224503767"/>
    <d v="2026-10-01T00:00:00"/>
    <d v="1955-09-16T00:00:00"/>
  </r>
  <r>
    <n v="332"/>
    <x v="7"/>
    <x v="321"/>
    <x v="1"/>
    <s v="Port Washington"/>
    <s v="Beverages"/>
    <x v="7"/>
    <x v="1"/>
    <x v="0"/>
    <s v="Vultaggio"/>
    <x v="239"/>
    <x v="153"/>
    <n v="1952"/>
    <n v="2"/>
    <n v="26"/>
    <n v="117.24"/>
    <n v="21427700000000"/>
    <n v="78.5"/>
    <n v="9.6"/>
    <n v="36.6"/>
    <n v="328239523"/>
    <n v="74.594801781411988"/>
    <d v="2026-10-01T00:00:00"/>
    <d v="1952-02-26T00:00:00"/>
  </r>
  <r>
    <n v="344"/>
    <x v="6"/>
    <x v="322"/>
    <x v="1"/>
    <s v="Los Angeles"/>
    <s v="Homebuilding, insurance"/>
    <x v="6"/>
    <x v="0"/>
    <x v="1"/>
    <s v="Broad"/>
    <x v="257"/>
    <x v="154"/>
    <n v="1936"/>
    <n v="1"/>
    <n v="1"/>
    <n v="117.24"/>
    <n v="21427700000000"/>
    <n v="78.5"/>
    <n v="9.6"/>
    <n v="36.6"/>
    <n v="328239523"/>
    <n v="90.748119622119262"/>
    <d v="2026-10-01T00:00:00"/>
    <d v="1936-01-01T00:00:00"/>
  </r>
  <r>
    <n v="344"/>
    <x v="7"/>
    <x v="323"/>
    <x v="1"/>
    <s v="St. Louis"/>
    <s v="Cargill"/>
    <x v="7"/>
    <x v="0"/>
    <x v="1"/>
    <s v="Keinath"/>
    <x v="258"/>
    <x v="154"/>
    <n v="1934"/>
    <n v="1"/>
    <n v="1"/>
    <n v="117.24"/>
    <n v="21427700000000"/>
    <n v="78.5"/>
    <n v="9.6"/>
    <n v="36.6"/>
    <n v="328239523"/>
    <n v="92.748115873763538"/>
    <d v="2026-10-01T00:00:00"/>
    <d v="1934-01-01T00:00:00"/>
  </r>
  <r>
    <n v="344"/>
    <x v="3"/>
    <x v="324"/>
    <x v="1"/>
    <s v="New York"/>
    <s v="Hedge fund"/>
    <x v="3"/>
    <x v="1"/>
    <x v="0"/>
    <s v="Laffont"/>
    <x v="259"/>
    <x v="154"/>
    <n v="1967"/>
    <n v="9"/>
    <n v="16"/>
    <n v="117.24"/>
    <n v="21427700000000"/>
    <n v="78.5"/>
    <n v="9.6"/>
    <n v="36.6"/>
    <n v="328239523"/>
    <n v="59.041752224503767"/>
    <d v="2026-10-01T00:00:00"/>
    <d v="1967-09-16T00:00:00"/>
  </r>
  <r>
    <n v="344"/>
    <x v="2"/>
    <x v="325"/>
    <x v="5"/>
    <s v="Huizhou"/>
    <s v="Lithium batteries"/>
    <x v="2"/>
    <x v="1"/>
    <x v="0"/>
    <s v="Liu"/>
    <x v="260"/>
    <x v="154"/>
    <n v="1964"/>
    <n v="9"/>
    <n v="22"/>
    <n v="125.08"/>
    <n v="19910000000000"/>
    <n v="77"/>
    <n v="9.4"/>
    <n v="59.2"/>
    <n v="1397715000"/>
    <n v="62.022597887966626"/>
    <d v="2026-10-01T00:00:00"/>
    <d v="1964-09-22T00:00:00"/>
  </r>
  <r>
    <n v="344"/>
    <x v="15"/>
    <x v="326"/>
    <x v="1"/>
    <s v="Lighthouse Point"/>
    <s v="Real estate"/>
    <x v="15"/>
    <x v="1"/>
    <x v="0"/>
    <s v="Olenicoff"/>
    <x v="250"/>
    <x v="154"/>
    <n v="1942"/>
    <n v="9"/>
    <n v="20"/>
    <n v="117.24"/>
    <n v="21427700000000"/>
    <n v="78.5"/>
    <n v="9.6"/>
    <n v="36.6"/>
    <n v="328239523"/>
    <n v="84.03079301681376"/>
    <d v="2026-10-01T00:00:00"/>
    <d v="1942-09-20T00:00:00"/>
  </r>
  <r>
    <n v="344"/>
    <x v="0"/>
    <x v="327"/>
    <x v="4"/>
    <s v="La Coruna"/>
    <s v="Zara"/>
    <x v="0"/>
    <x v="0"/>
    <x v="1"/>
    <s v="Ortega Mera"/>
    <x v="261"/>
    <x v="154"/>
    <n v="1968"/>
    <n v="7"/>
    <n v="9"/>
    <n v="110.96"/>
    <n v="1394116310769"/>
    <n v="83.3"/>
    <n v="14.2"/>
    <n v="47"/>
    <n v="47076781"/>
    <n v="58.227935034802783"/>
    <d v="2026-10-01T00:00:00"/>
    <d v="1968-07-09T00:00:00"/>
  </r>
  <r>
    <n v="344"/>
    <x v="13"/>
    <x v="328"/>
    <x v="1"/>
    <s v="Portage"/>
    <s v="Medical equipment"/>
    <x v="13"/>
    <x v="0"/>
    <x v="1"/>
    <s v="Stryker"/>
    <x v="262"/>
    <x v="154"/>
    <n v="1954"/>
    <n v="5"/>
    <n v="1"/>
    <n v="117.24"/>
    <n v="21427700000000"/>
    <n v="78.5"/>
    <n v="9.6"/>
    <n v="36.6"/>
    <n v="328239523"/>
    <n v="72.419570190901254"/>
    <d v="2026-10-01T00:00:00"/>
    <d v="1954-05-01T00:00:00"/>
  </r>
  <r>
    <n v="352"/>
    <x v="12"/>
    <x v="329"/>
    <x v="1"/>
    <s v="Houston"/>
    <s v="Pipelines"/>
    <x v="12"/>
    <x v="0"/>
    <x v="1"/>
    <s v="Avara"/>
    <x v="263"/>
    <x v="155"/>
    <n v="1964"/>
    <n v="3"/>
    <n v="9"/>
    <n v="117.24"/>
    <n v="21427700000000"/>
    <n v="78.5"/>
    <n v="9.6"/>
    <n v="36.6"/>
    <n v="328239523"/>
    <n v="62.561948633262354"/>
    <d v="2026-10-01T00:00:00"/>
    <d v="1964-03-09T00:00:00"/>
  </r>
  <r>
    <n v="352"/>
    <x v="6"/>
    <x v="330"/>
    <x v="24"/>
    <s v="Milan"/>
    <s v="Media"/>
    <x v="6"/>
    <x v="1"/>
    <x v="0"/>
    <s v="Berlusconi"/>
    <x v="264"/>
    <x v="155"/>
    <n v="1936"/>
    <n v="9"/>
    <n v="29"/>
    <n v="110.62"/>
    <n v="2001244392042"/>
    <n v="82.9"/>
    <n v="24.3"/>
    <n v="59.1"/>
    <n v="60297396"/>
    <n v="90.00342980925447"/>
    <d v="2026-10-01T00:00:00"/>
    <d v="1936-09-29T00:00:00"/>
  </r>
  <r>
    <n v="352"/>
    <x v="9"/>
    <x v="331"/>
    <x v="12"/>
    <s v="Stoke-on-Trent"/>
    <s v="Online gambling"/>
    <x v="9"/>
    <x v="1"/>
    <x v="1"/>
    <s v="Coates"/>
    <x v="265"/>
    <x v="155"/>
    <n v="1967"/>
    <n v="9"/>
    <n v="26"/>
    <n v="119.62"/>
    <n v="2827113184696"/>
    <n v="81.3"/>
    <n v="25.5"/>
    <n v="30.6"/>
    <n v="66834405"/>
    <n v="59.014373716632441"/>
    <d v="2026-10-01T00:00:00"/>
    <d v="1967-09-26T00:00:00"/>
  </r>
  <r>
    <n v="352"/>
    <x v="12"/>
    <x v="332"/>
    <x v="1"/>
    <s v="Houston"/>
    <s v="Pipelines"/>
    <x v="12"/>
    <x v="0"/>
    <x v="0"/>
    <s v="Duncan"/>
    <x v="141"/>
    <x v="155"/>
    <n v="1982"/>
    <n v="11"/>
    <n v="1"/>
    <n v="117.24"/>
    <n v="21427700000000"/>
    <n v="78.5"/>
    <n v="9.6"/>
    <n v="36.6"/>
    <n v="328239523"/>
    <n v="43.915794597225599"/>
    <d v="2026-10-01T00:00:00"/>
    <d v="1982-11-01T00:00:00"/>
  </r>
  <r>
    <n v="352"/>
    <x v="12"/>
    <x v="333"/>
    <x v="1"/>
    <s v="Houston"/>
    <s v="Pipelines"/>
    <x v="12"/>
    <x v="0"/>
    <x v="1"/>
    <s v="Frantz"/>
    <x v="266"/>
    <x v="155"/>
    <n v="1969"/>
    <n v="8"/>
    <n v="12"/>
    <n v="117.24"/>
    <n v="21427700000000"/>
    <n v="78.5"/>
    <n v="9.6"/>
    <n v="36.6"/>
    <n v="328239523"/>
    <n v="57.137556646525681"/>
    <d v="2026-10-01T00:00:00"/>
    <d v="1969-08-12T00:00:00"/>
  </r>
  <r>
    <n v="352"/>
    <x v="3"/>
    <x v="334"/>
    <x v="1"/>
    <s v="Boston"/>
    <s v="Fidelity"/>
    <x v="3"/>
    <x v="0"/>
    <x v="0"/>
    <s v="Johnson"/>
    <x v="267"/>
    <x v="155"/>
    <n v="1964"/>
    <n v="11"/>
    <n v="18"/>
    <n v="117.24"/>
    <n v="21427700000000"/>
    <n v="78.5"/>
    <n v="9.6"/>
    <n v="36.6"/>
    <n v="328239523"/>
    <n v="61.866542088566341"/>
    <d v="2026-10-01T00:00:00"/>
    <d v="1964-11-18T00:00:00"/>
  </r>
  <r>
    <n v="352"/>
    <x v="3"/>
    <x v="335"/>
    <x v="1"/>
    <s v="Los Altos"/>
    <s v="Tech investments"/>
    <x v="3"/>
    <x v="1"/>
    <x v="0"/>
    <s v="Milner"/>
    <x v="268"/>
    <x v="155"/>
    <n v="1961"/>
    <n v="11"/>
    <n v="11"/>
    <n v="117.24"/>
    <n v="21427700000000"/>
    <n v="78.5"/>
    <n v="9.6"/>
    <n v="36.6"/>
    <n v="328239523"/>
    <n v="64.88840952459968"/>
    <d v="2026-10-01T00:00:00"/>
    <d v="1961-11-11T00:00:00"/>
  </r>
  <r>
    <n v="352"/>
    <x v="2"/>
    <x v="336"/>
    <x v="1"/>
    <s v="Woodside"/>
    <s v="Intel"/>
    <x v="2"/>
    <x v="1"/>
    <x v="0"/>
    <s v="Moore"/>
    <x v="269"/>
    <x v="155"/>
    <n v="1929"/>
    <n v="1"/>
    <n v="3"/>
    <n v="117.24"/>
    <n v="21427700000000"/>
    <n v="78.5"/>
    <n v="9.6"/>
    <n v="36.6"/>
    <n v="328239523"/>
    <n v="97.742638431021959"/>
    <d v="2026-10-01T00:00:00"/>
    <d v="1929-01-03T00:00:00"/>
  </r>
  <r>
    <n v="352"/>
    <x v="3"/>
    <x v="337"/>
    <x v="1"/>
    <s v="Millburn"/>
    <s v="Hedge funds"/>
    <x v="3"/>
    <x v="1"/>
    <x v="0"/>
    <s v="Overdeck"/>
    <x v="29"/>
    <x v="155"/>
    <n v="1969"/>
    <n v="12"/>
    <n v="21"/>
    <n v="117.24"/>
    <n v="21427700000000"/>
    <n v="78.5"/>
    <n v="9.6"/>
    <n v="36.6"/>
    <n v="328239523"/>
    <n v="56.778889728096679"/>
    <d v="2026-10-01T00:00:00"/>
    <d v="1969-12-21T00:00:00"/>
  </r>
  <r>
    <n v="352"/>
    <x v="3"/>
    <x v="338"/>
    <x v="1"/>
    <s v="Scarsdale"/>
    <s v="Hedge funds"/>
    <x v="3"/>
    <x v="1"/>
    <x v="0"/>
    <s v="Siegel"/>
    <x v="20"/>
    <x v="155"/>
    <n v="1961"/>
    <n v="7"/>
    <n v="15"/>
    <n v="117.24"/>
    <n v="21427700000000"/>
    <n v="78.5"/>
    <n v="9.6"/>
    <n v="36.6"/>
    <n v="328239523"/>
    <n v="65.214220526010124"/>
    <d v="2026-10-01T00:00:00"/>
    <d v="1961-07-15T00:00:00"/>
  </r>
  <r>
    <n v="352"/>
    <x v="6"/>
    <x v="339"/>
    <x v="16"/>
    <s v="Moscow"/>
    <s v="Metals, investments"/>
    <x v="6"/>
    <x v="1"/>
    <x v="0"/>
    <s v="Vekselberg"/>
    <x v="137"/>
    <x v="155"/>
    <n v="1957"/>
    <n v="4"/>
    <n v="14"/>
    <n v="180.75"/>
    <n v="1699876578871"/>
    <n v="72.7"/>
    <n v="11.4"/>
    <n v="46.2"/>
    <n v="144373535"/>
    <n v="69.46610865568897"/>
    <d v="2026-10-01T00:00:00"/>
    <d v="1957-04-14T00:00:00"/>
  </r>
  <r>
    <n v="352"/>
    <x v="2"/>
    <x v="340"/>
    <x v="5"/>
    <s v="Shenzhen"/>
    <s v="Electronics components"/>
    <x v="2"/>
    <x v="1"/>
    <x v="0"/>
    <s v="Wang"/>
    <x v="270"/>
    <x v="155"/>
    <n v="1964"/>
    <n v="12"/>
    <n v="14"/>
    <n v="125.08"/>
    <n v="19910000000000"/>
    <n v="77"/>
    <n v="9.4"/>
    <n v="59.2"/>
    <n v="1397715000"/>
    <n v="61.795358741471468"/>
    <d v="2026-10-01T00:00:00"/>
    <d v="1964-12-14T00:00:00"/>
  </r>
  <r>
    <n v="352"/>
    <x v="12"/>
    <x v="341"/>
    <x v="1"/>
    <s v="Houston"/>
    <s v="Pipelines"/>
    <x v="12"/>
    <x v="0"/>
    <x v="1"/>
    <s v="Williams"/>
    <x v="271"/>
    <x v="155"/>
    <n v="1961"/>
    <n v="8"/>
    <n v="28"/>
    <n v="117.24"/>
    <n v="21427700000000"/>
    <n v="78.5"/>
    <n v="9.6"/>
    <n v="36.6"/>
    <n v="328239523"/>
    <n v="65.093752592715504"/>
    <d v="2026-10-01T00:00:00"/>
    <d v="1961-08-28T00:00:00"/>
  </r>
  <r>
    <n v="365"/>
    <x v="3"/>
    <x v="342"/>
    <x v="1"/>
    <s v="Dallas"/>
    <s v="Money management"/>
    <x v="3"/>
    <x v="1"/>
    <x v="0"/>
    <s v="Fisher"/>
    <x v="32"/>
    <x v="156"/>
    <n v="1950"/>
    <n v="11"/>
    <n v="29"/>
    <n v="117.24"/>
    <n v="21427700000000"/>
    <n v="78.5"/>
    <n v="9.6"/>
    <n v="36.6"/>
    <n v="328239523"/>
    <n v="75.839140947233673"/>
    <d v="2026-10-01T00:00:00"/>
    <d v="1950-11-29T00:00:00"/>
  </r>
  <r>
    <n v="365"/>
    <x v="3"/>
    <x v="343"/>
    <x v="12"/>
    <s v="London"/>
    <s v="Hedge funds"/>
    <x v="3"/>
    <x v="1"/>
    <x v="0"/>
    <s v="Hohn"/>
    <x v="272"/>
    <x v="156"/>
    <n v="1966"/>
    <n v="10"/>
    <n v="27"/>
    <n v="119.62"/>
    <n v="2827113184696"/>
    <n v="81.3"/>
    <n v="25.5"/>
    <n v="30.6"/>
    <n v="66834405"/>
    <n v="59.929488330341115"/>
    <d v="2026-10-01T00:00:00"/>
    <d v="1966-10-27T00:00:00"/>
  </r>
  <r>
    <n v="365"/>
    <x v="10"/>
    <x v="344"/>
    <x v="33"/>
    <s v="Billund"/>
    <s v="Lego"/>
    <x v="10"/>
    <x v="0"/>
    <x v="0"/>
    <s v="Kristiansen"/>
    <x v="273"/>
    <x v="156"/>
    <n v="1947"/>
    <n v="12"/>
    <n v="27"/>
    <n v="110.35"/>
    <n v="348078018464"/>
    <n v="81"/>
    <n v="32.4"/>
    <n v="23.8"/>
    <n v="5818553"/>
    <n v="78.762491444216295"/>
    <d v="2026-10-01T00:00:00"/>
    <d v="1947-12-27T00:00:00"/>
  </r>
  <r>
    <n v="365"/>
    <x v="10"/>
    <x v="345"/>
    <x v="33"/>
    <s v="Billund"/>
    <s v="Lego"/>
    <x v="10"/>
    <x v="0"/>
    <x v="1"/>
    <s v="Kristiansen"/>
    <x v="274"/>
    <x v="156"/>
    <n v="1976"/>
    <n v="1"/>
    <n v="1"/>
    <n v="110.35"/>
    <n v="348078018464"/>
    <n v="81"/>
    <n v="32.4"/>
    <n v="23.8"/>
    <n v="5818553"/>
    <n v="50.74812110800945"/>
    <d v="2026-10-01T00:00:00"/>
    <d v="1976-01-01T00:00:00"/>
  </r>
  <r>
    <n v="365"/>
    <x v="10"/>
    <x v="346"/>
    <x v="33"/>
    <s v="Billund"/>
    <s v="Lego"/>
    <x v="10"/>
    <x v="0"/>
    <x v="0"/>
    <s v="Kristiansen"/>
    <x v="275"/>
    <x v="156"/>
    <n v="1979"/>
    <n v="1"/>
    <n v="1"/>
    <n v="110.35"/>
    <n v="348078018464"/>
    <n v="81"/>
    <n v="32.4"/>
    <n v="23.8"/>
    <n v="5818553"/>
    <n v="47.748117727583846"/>
    <d v="2026-10-01T00:00:00"/>
    <d v="1979-01-01T00:00:00"/>
  </r>
  <r>
    <n v="365"/>
    <x v="13"/>
    <x v="347"/>
    <x v="24"/>
    <s v="Fiesole"/>
    <s v="Pharmaceuticals"/>
    <x v="13"/>
    <x v="0"/>
    <x v="1"/>
    <s v="Landini Aleotti"/>
    <x v="276"/>
    <x v="156"/>
    <n v="1943"/>
    <n v="1"/>
    <n v="1"/>
    <n v="110.62"/>
    <n v="2001244392042"/>
    <n v="82.9"/>
    <n v="24.3"/>
    <n v="59.1"/>
    <n v="60297396"/>
    <n v="83.748117727583846"/>
    <d v="2026-10-01T00:00:00"/>
    <d v="1943-01-01T00:00:00"/>
  </r>
  <r>
    <n v="365"/>
    <x v="1"/>
    <x v="348"/>
    <x v="5"/>
    <s v="Ningde"/>
    <s v="Batteries"/>
    <x v="1"/>
    <x v="1"/>
    <x v="0"/>
    <s v="Li"/>
    <x v="277"/>
    <x v="156"/>
    <n v="1968"/>
    <n v="1"/>
    <n v="1"/>
    <n v="125.08"/>
    <n v="19910000000000"/>
    <n v="77"/>
    <n v="9.4"/>
    <n v="59.2"/>
    <n v="1397715000"/>
    <n v="58.748120649651973"/>
    <d v="2026-10-01T00:00:00"/>
    <d v="1968-01-01T00:00:00"/>
  </r>
  <r>
    <n v="365"/>
    <x v="10"/>
    <x v="349"/>
    <x v="5"/>
    <s v="Hangzhou"/>
    <s v="Solar panel components"/>
    <x v="10"/>
    <x v="1"/>
    <x v="0"/>
    <s v="Lin"/>
    <x v="182"/>
    <x v="156"/>
    <n v="1962"/>
    <n v="8"/>
    <n v="1"/>
    <n v="125.08"/>
    <n v="19910000000000"/>
    <n v="77"/>
    <n v="9.4"/>
    <n v="59.2"/>
    <n v="1397715000"/>
    <n v="64.16768459626806"/>
    <d v="2026-10-01T00:00:00"/>
    <d v="1962-08-01T00:00:00"/>
  </r>
  <r>
    <n v="365"/>
    <x v="10"/>
    <x v="350"/>
    <x v="8"/>
    <s v="Feldmeilen"/>
    <s v="Chemicals"/>
    <x v="10"/>
    <x v="0"/>
    <x v="1"/>
    <s v="Martullo-Blocher"/>
    <x v="278"/>
    <x v="156"/>
    <n v="1969"/>
    <n v="1"/>
    <n v="1"/>
    <n v="99.55"/>
    <n v="703082435360"/>
    <n v="83.6"/>
    <n v="10.1"/>
    <n v="28.8"/>
    <n v="8574832"/>
    <n v="57.748111782477345"/>
    <d v="2026-10-01T00:00:00"/>
    <d v="1969-01-01T00:00:00"/>
  </r>
  <r>
    <n v="365"/>
    <x v="5"/>
    <x v="351"/>
    <x v="0"/>
    <s v="Paris"/>
    <s v="Internet, telecom"/>
    <x v="5"/>
    <x v="1"/>
    <x v="0"/>
    <s v="Niel"/>
    <x v="279"/>
    <x v="156"/>
    <n v="1967"/>
    <n v="8"/>
    <n v="25"/>
    <n v="110.05"/>
    <n v="2715518274227"/>
    <n v="82.5"/>
    <n v="24.2"/>
    <n v="60.7"/>
    <n v="67059887"/>
    <n v="59.101984941820668"/>
    <d v="2026-10-01T00:00:00"/>
    <d v="1967-08-25T00:00:00"/>
  </r>
  <r>
    <n v="365"/>
    <x v="12"/>
    <x v="352"/>
    <x v="1"/>
    <s v="Boca Raton"/>
    <s v="Natural gas"/>
    <x v="12"/>
    <x v="1"/>
    <x v="0"/>
    <s v="Pegula"/>
    <x v="280"/>
    <x v="156"/>
    <n v="1951"/>
    <n v="3"/>
    <n v="27"/>
    <n v="117.24"/>
    <n v="21427700000000"/>
    <n v="78.5"/>
    <n v="9.6"/>
    <n v="36.6"/>
    <n v="328239523"/>
    <n v="75.515400410677614"/>
    <d v="2026-10-01T00:00:00"/>
    <d v="1951-03-27T00:00:00"/>
  </r>
  <r>
    <n v="365"/>
    <x v="15"/>
    <x v="353"/>
    <x v="1"/>
    <s v="Los Angeles"/>
    <s v="Real estate"/>
    <x v="15"/>
    <x v="0"/>
    <x v="0"/>
    <s v="Roski"/>
    <x v="267"/>
    <x v="156"/>
    <n v="1938"/>
    <n v="12"/>
    <n v="25"/>
    <n v="117.24"/>
    <n v="21427700000000"/>
    <n v="78.5"/>
    <n v="9.6"/>
    <n v="36.6"/>
    <n v="328239523"/>
    <n v="87.767957670655548"/>
    <d v="2026-10-01T00:00:00"/>
    <d v="1938-12-25T00:00:00"/>
  </r>
  <r>
    <n v="365"/>
    <x v="15"/>
    <x v="354"/>
    <x v="1"/>
    <s v="Atherton"/>
    <s v="Real estate"/>
    <x v="15"/>
    <x v="1"/>
    <x v="0"/>
    <s v="Sobrato"/>
    <x v="281"/>
    <x v="156"/>
    <n v="1939"/>
    <n v="5"/>
    <n v="23"/>
    <n v="117.24"/>
    <n v="21427700000000"/>
    <n v="78.5"/>
    <n v="9.6"/>
    <n v="36.6"/>
    <n v="328239523"/>
    <n v="87.359342915811084"/>
    <d v="2026-10-01T00:00:00"/>
    <d v="1939-05-23T00:00:00"/>
  </r>
  <r>
    <n v="365"/>
    <x v="3"/>
    <x v="355"/>
    <x v="1"/>
    <s v="Katonah"/>
    <s v="Hedge funds"/>
    <x v="3"/>
    <x v="1"/>
    <x v="0"/>
    <s v="Soros"/>
    <x v="108"/>
    <x v="156"/>
    <n v="1930"/>
    <n v="8"/>
    <n v="12"/>
    <n v="117.24"/>
    <n v="21427700000000"/>
    <n v="78.5"/>
    <n v="9.6"/>
    <n v="36.6"/>
    <n v="328239523"/>
    <n v="96.13757091648084"/>
    <d v="2026-10-01T00:00:00"/>
    <d v="1930-08-12T00:00:00"/>
  </r>
  <r>
    <n v="365"/>
    <x v="2"/>
    <x v="356"/>
    <x v="1"/>
    <s v="Irvine"/>
    <s v="Computer hardware"/>
    <x v="2"/>
    <x v="1"/>
    <x v="0"/>
    <s v="Sun"/>
    <x v="20"/>
    <x v="156"/>
    <n v="1951"/>
    <n v="10"/>
    <n v="12"/>
    <n v="117.24"/>
    <n v="21427700000000"/>
    <n v="78.5"/>
    <n v="9.6"/>
    <n v="36.6"/>
    <n v="328239523"/>
    <n v="74.970568104038335"/>
    <d v="2026-10-01T00:00:00"/>
    <d v="1951-10-12T00:00:00"/>
  </r>
  <r>
    <n v="365"/>
    <x v="10"/>
    <x v="357"/>
    <x v="33"/>
    <s v="Billund"/>
    <s v="Lego"/>
    <x v="10"/>
    <x v="0"/>
    <x v="1"/>
    <s v="Thinggaard"/>
    <x v="282"/>
    <x v="156"/>
    <n v="1983"/>
    <n v="5"/>
    <n v="18"/>
    <n v="110.35"/>
    <n v="348078018464"/>
    <n v="81"/>
    <n v="32.4"/>
    <n v="23.8"/>
    <n v="5818553"/>
    <n v="43.37303216974675"/>
    <d v="2026-10-01T00:00:00"/>
    <d v="1983-05-18T00:00:00"/>
  </r>
  <r>
    <n v="365"/>
    <x v="2"/>
    <x v="358"/>
    <x v="1"/>
    <s v="Rolling Hills"/>
    <s v="Computer hardware"/>
    <x v="2"/>
    <x v="1"/>
    <x v="0"/>
    <s v="Tu"/>
    <x v="29"/>
    <x v="156"/>
    <n v="1941"/>
    <n v="8"/>
    <n v="12"/>
    <n v="117.24"/>
    <n v="21427700000000"/>
    <n v="78.5"/>
    <n v="9.6"/>
    <n v="36.6"/>
    <n v="328239523"/>
    <n v="85.137563274012294"/>
    <d v="2026-10-01T00:00:00"/>
    <d v="1941-08-12T00:00:00"/>
  </r>
  <r>
    <n v="365"/>
    <x v="7"/>
    <x v="359"/>
    <x v="5"/>
    <s v="Quanzhou"/>
    <s v="Snacks, beverages"/>
    <x v="7"/>
    <x v="1"/>
    <x v="0"/>
    <s v="Xu"/>
    <x v="283"/>
    <x v="156"/>
    <n v="1958"/>
    <n v="1"/>
    <n v="1"/>
    <n v="125.08"/>
    <n v="19910000000000"/>
    <n v="77"/>
    <n v="9.4"/>
    <n v="59.2"/>
    <n v="1397715000"/>
    <n v="68.748115228950084"/>
    <d v="2026-10-01T00:00:00"/>
    <d v="1958-01-01T00:00:00"/>
  </r>
  <r>
    <n v="383"/>
    <x v="10"/>
    <x v="360"/>
    <x v="8"/>
    <s v="Wilen bei Wollerau"/>
    <s v="Chemicals"/>
    <x v="10"/>
    <x v="0"/>
    <x v="1"/>
    <s v="Blocher"/>
    <x v="284"/>
    <x v="157"/>
    <n v="1976"/>
    <n v="1"/>
    <n v="1"/>
    <n v="99.55"/>
    <n v="703082435360"/>
    <n v="83.6"/>
    <n v="10.1"/>
    <n v="28.8"/>
    <n v="8574832"/>
    <n v="50.74812110800945"/>
    <d v="2026-10-01T00:00:00"/>
    <d v="1976-01-01T00:00:00"/>
  </r>
  <r>
    <n v="383"/>
    <x v="7"/>
    <x v="361"/>
    <x v="1"/>
    <s v="Atlanta"/>
    <s v="Chick-fil-A"/>
    <x v="7"/>
    <x v="0"/>
    <x v="0"/>
    <s v="Cathy"/>
    <x v="285"/>
    <x v="157"/>
    <n v="1954"/>
    <n v="4"/>
    <n v="22"/>
    <n v="117.24"/>
    <n v="21427700000000"/>
    <n v="78.5"/>
    <n v="9.6"/>
    <n v="36.6"/>
    <n v="328239523"/>
    <n v="72.444211079023361"/>
    <d v="2026-10-01T00:00:00"/>
    <d v="1954-04-22T00:00:00"/>
  </r>
  <r>
    <n v="383"/>
    <x v="7"/>
    <x v="362"/>
    <x v="1"/>
    <s v="Atlanta"/>
    <s v="Chick-fil-A"/>
    <x v="7"/>
    <x v="0"/>
    <x v="0"/>
    <s v="Cathy"/>
    <x v="286"/>
    <x v="157"/>
    <n v="1953"/>
    <n v="3"/>
    <n v="1"/>
    <n v="117.24"/>
    <n v="21427700000000"/>
    <n v="78.5"/>
    <n v="9.6"/>
    <n v="36.6"/>
    <n v="328239523"/>
    <n v="73.586576883232212"/>
    <d v="2026-10-01T00:00:00"/>
    <d v="1953-03-01T00:00:00"/>
  </r>
  <r>
    <n v="383"/>
    <x v="7"/>
    <x v="363"/>
    <x v="1"/>
    <s v="Hampton"/>
    <s v="Chick-fil-A"/>
    <x v="7"/>
    <x v="0"/>
    <x v="1"/>
    <s v="Cathy White"/>
    <x v="287"/>
    <x v="157"/>
    <n v="1955"/>
    <n v="12"/>
    <n v="17"/>
    <n v="117.24"/>
    <n v="21427700000000"/>
    <n v="78.5"/>
    <n v="9.6"/>
    <n v="36.6"/>
    <n v="328239523"/>
    <n v="70.789869952087614"/>
    <d v="2026-10-01T00:00:00"/>
    <d v="1955-12-17T00:00:00"/>
  </r>
  <r>
    <n v="383"/>
    <x v="3"/>
    <x v="364"/>
    <x v="1"/>
    <s v="New York"/>
    <s v="Hedge funds"/>
    <x v="3"/>
    <x v="1"/>
    <x v="0"/>
    <s v="Kovner"/>
    <x v="288"/>
    <x v="157"/>
    <n v="1945"/>
    <n v="2"/>
    <n v="25"/>
    <n v="117.24"/>
    <n v="21427700000000"/>
    <n v="78.5"/>
    <n v="9.6"/>
    <n v="36.6"/>
    <n v="328239523"/>
    <n v="81.597529215358932"/>
    <d v="2026-10-01T00:00:00"/>
    <d v="1945-02-25T00:00:00"/>
  </r>
  <r>
    <n v="383"/>
    <x v="2"/>
    <x v="365"/>
    <x v="1"/>
    <s v="Newport Coast"/>
    <s v="Semiconductors"/>
    <x v="2"/>
    <x v="1"/>
    <x v="0"/>
    <s v="Nicholas"/>
    <x v="220"/>
    <x v="157"/>
    <n v="1959"/>
    <n v="10"/>
    <n v="8"/>
    <n v="117.24"/>
    <n v="21427700000000"/>
    <n v="78.5"/>
    <n v="9.6"/>
    <n v="36.6"/>
    <n v="328239523"/>
    <n v="66.98151950718686"/>
    <d v="2026-10-01T00:00:00"/>
    <d v="1959-10-08T00:00:00"/>
  </r>
  <r>
    <n v="383"/>
    <x v="3"/>
    <x v="366"/>
    <x v="7"/>
    <s v="Munich"/>
    <s v="Investments"/>
    <x v="3"/>
    <x v="0"/>
    <x v="1"/>
    <s v="Thiele"/>
    <x v="289"/>
    <x v="157"/>
    <n v="1976"/>
    <n v="1"/>
    <n v="7"/>
    <n v="112.85"/>
    <n v="3845630030824"/>
    <n v="80.900000000000006"/>
    <n v="11.5"/>
    <n v="48.8"/>
    <n v="83132799"/>
    <n v="50.731694223749194"/>
    <d v="2026-10-01T00:00:00"/>
    <d v="1976-01-07T00:00:00"/>
  </r>
  <r>
    <n v="390"/>
    <x v="3"/>
    <x v="367"/>
    <x v="1"/>
    <s v="Fort Worth"/>
    <s v="Private equity"/>
    <x v="3"/>
    <x v="1"/>
    <x v="0"/>
    <s v="Bonderman"/>
    <x v="20"/>
    <x v="158"/>
    <n v="1942"/>
    <n v="11"/>
    <n v="27"/>
    <n v="117.24"/>
    <n v="21427700000000"/>
    <n v="78.5"/>
    <n v="9.6"/>
    <n v="36.6"/>
    <n v="328239523"/>
    <n v="83.844617664111311"/>
    <d v="2026-10-01T00:00:00"/>
    <d v="1942-11-27T00:00:00"/>
  </r>
  <r>
    <n v="390"/>
    <x v="2"/>
    <x v="368"/>
    <x v="1"/>
    <s v="Medina"/>
    <s v="Microsoft"/>
    <x v="2"/>
    <x v="0"/>
    <x v="1"/>
    <s v="French Gates"/>
    <x v="290"/>
    <x v="158"/>
    <n v="1964"/>
    <n v="8"/>
    <n v="15"/>
    <n v="117.24"/>
    <n v="21427700000000"/>
    <n v="78.5"/>
    <n v="9.6"/>
    <n v="36.6"/>
    <n v="328239523"/>
    <n v="62.126635087566818"/>
    <d v="2026-10-01T00:00:00"/>
    <d v="1964-08-15T00:00:00"/>
  </r>
  <r>
    <n v="390"/>
    <x v="15"/>
    <x v="369"/>
    <x v="1"/>
    <s v="Chevy Chase"/>
    <s v="Real estate"/>
    <x v="15"/>
    <x v="0"/>
    <x v="1"/>
    <s v="Lerner"/>
    <x v="291"/>
    <x v="158"/>
    <n v="1930"/>
    <n v="2"/>
    <n v="27"/>
    <n v="117.24"/>
    <n v="21427700000000"/>
    <n v="78.5"/>
    <n v="9.6"/>
    <n v="36.6"/>
    <n v="328239523"/>
    <n v="96.592057354144899"/>
    <d v="2026-10-01T00:00:00"/>
    <d v="1930-02-27T00:00:00"/>
  </r>
  <r>
    <n v="390"/>
    <x v="15"/>
    <x v="370"/>
    <x v="12"/>
    <s v="London"/>
    <s v="Investments, real estate"/>
    <x v="15"/>
    <x v="1"/>
    <x v="0"/>
    <s v="Reuben"/>
    <x v="20"/>
    <x v="158"/>
    <n v="1938"/>
    <n v="9"/>
    <n v="1"/>
    <n v="119.62"/>
    <n v="2827113184696"/>
    <n v="81.3"/>
    <n v="25.5"/>
    <n v="30.6"/>
    <n v="66834405"/>
    <n v="88.08281293259914"/>
    <d v="2026-10-01T00:00:00"/>
    <d v="1938-09-01T00:00:00"/>
  </r>
  <r>
    <n v="390"/>
    <x v="15"/>
    <x v="371"/>
    <x v="8"/>
    <s v="Crans Montana"/>
    <s v="Real estate"/>
    <x v="15"/>
    <x v="1"/>
    <x v="0"/>
    <s v="Vitek"/>
    <x v="292"/>
    <x v="158"/>
    <n v="1971"/>
    <n v="4"/>
    <n v="22"/>
    <n v="99.55"/>
    <n v="703082435360"/>
    <n v="83.6"/>
    <n v="10.1"/>
    <n v="28.8"/>
    <n v="8574832"/>
    <n v="55.444216290212182"/>
    <d v="2026-10-01T00:00:00"/>
    <d v="1971-04-22T00:00:00"/>
  </r>
  <r>
    <n v="397"/>
    <x v="3"/>
    <x v="372"/>
    <x v="19"/>
    <s v="Gothenberg"/>
    <s v="Investments"/>
    <x v="3"/>
    <x v="1"/>
    <x v="0"/>
    <s v="Bennet"/>
    <x v="81"/>
    <x v="159"/>
    <n v="1951"/>
    <n v="8"/>
    <n v="19"/>
    <n v="110.51"/>
    <n v="530832908738"/>
    <n v="82.5"/>
    <n v="27.9"/>
    <n v="49.1"/>
    <n v="10285453"/>
    <n v="75.118412046543469"/>
    <d v="2026-10-01T00:00:00"/>
    <d v="1951-08-19T00:00:00"/>
  </r>
  <r>
    <n v="397"/>
    <x v="17"/>
    <x v="373"/>
    <x v="1"/>
    <s v="Hobe Sound"/>
    <s v="Staffing, Baltimore Ravens"/>
    <x v="17"/>
    <x v="1"/>
    <x v="0"/>
    <s v="Bisciotti"/>
    <x v="42"/>
    <x v="159"/>
    <n v="1960"/>
    <n v="4"/>
    <n v="10"/>
    <n v="117.24"/>
    <n v="21427700000000"/>
    <n v="78.5"/>
    <n v="9.6"/>
    <n v="36.6"/>
    <n v="328239523"/>
    <n v="66.474338018960452"/>
    <d v="2026-10-01T00:00:00"/>
    <d v="1960-04-10T00:00:00"/>
  </r>
  <r>
    <n v="397"/>
    <x v="3"/>
    <x v="374"/>
    <x v="1"/>
    <s v="New York"/>
    <s v="Hedge funds"/>
    <x v="3"/>
    <x v="1"/>
    <x v="0"/>
    <s v="Druckenmiller"/>
    <x v="112"/>
    <x v="159"/>
    <n v="1953"/>
    <n v="6"/>
    <n v="14"/>
    <n v="117.24"/>
    <n v="21427700000000"/>
    <n v="78.5"/>
    <n v="9.6"/>
    <n v="36.6"/>
    <n v="328239523"/>
    <n v="73.299097232499633"/>
    <d v="2026-10-01T00:00:00"/>
    <d v="1953-06-14T00:00:00"/>
  </r>
  <r>
    <n v="397"/>
    <x v="13"/>
    <x v="375"/>
    <x v="5"/>
    <s v="Beijing"/>
    <s v="Biomedical products"/>
    <x v="13"/>
    <x v="1"/>
    <x v="1"/>
    <s v="Jian"/>
    <x v="153"/>
    <x v="159"/>
    <n v="1963"/>
    <n v="11"/>
    <n v="1"/>
    <n v="125.08"/>
    <n v="19910000000000"/>
    <n v="77"/>
    <n v="9.4"/>
    <n v="59.2"/>
    <n v="1397715000"/>
    <n v="62.91581108829569"/>
    <d v="2026-10-01T00:00:00"/>
    <d v="1963-11-01T00:00:00"/>
  </r>
  <r>
    <n v="397"/>
    <x v="12"/>
    <x v="376"/>
    <x v="0"/>
    <s v="Paris"/>
    <s v="Oil, banking, telecom"/>
    <x v="12"/>
    <x v="1"/>
    <x v="0"/>
    <s v="Kuzmichev"/>
    <x v="293"/>
    <x v="159"/>
    <n v="1962"/>
    <n v="10"/>
    <n v="15"/>
    <n v="110.05"/>
    <n v="2715518274227"/>
    <n v="82.5"/>
    <n v="24.2"/>
    <n v="60.7"/>
    <n v="67059887"/>
    <n v="63.962343624952616"/>
    <d v="2026-10-01T00:00:00"/>
    <d v="1962-10-15T00:00:00"/>
  </r>
  <r>
    <n v="397"/>
    <x v="3"/>
    <x v="377"/>
    <x v="34"/>
    <s v="Bogota"/>
    <s v="Banking"/>
    <x v="3"/>
    <x v="1"/>
    <x v="0"/>
    <s v="Sarmiento"/>
    <x v="294"/>
    <x v="159"/>
    <n v="1933"/>
    <n v="1"/>
    <n v="27"/>
    <n v="140.94999999999999"/>
    <n v="323802808108"/>
    <n v="77.099999999999994"/>
    <n v="14.4"/>
    <n v="71.2"/>
    <n v="50339443"/>
    <n v="93.676928902222357"/>
    <d v="2026-10-01T00:00:00"/>
    <d v="1933-01-27T00:00:00"/>
  </r>
  <r>
    <n v="397"/>
    <x v="8"/>
    <x v="378"/>
    <x v="1"/>
    <s v="Missoula"/>
    <s v="Construction, mining"/>
    <x v="8"/>
    <x v="1"/>
    <x v="0"/>
    <s v="Washington"/>
    <x v="295"/>
    <x v="159"/>
    <n v="1934"/>
    <n v="7"/>
    <n v="27"/>
    <n v="117.24"/>
    <n v="21427700000000"/>
    <n v="78.5"/>
    <n v="9.6"/>
    <n v="36.6"/>
    <n v="328239523"/>
    <n v="92.181376589731514"/>
    <d v="2026-10-01T00:00:00"/>
    <d v="1934-07-27T00:00:00"/>
  </r>
  <r>
    <n v="405"/>
    <x v="16"/>
    <x v="379"/>
    <x v="12"/>
    <s v="Gloucestershire"/>
    <s v="Construction equipment"/>
    <x v="16"/>
    <x v="0"/>
    <x v="0"/>
    <s v="Bamford"/>
    <x v="124"/>
    <x v="160"/>
    <n v="1945"/>
    <n v="10"/>
    <n v="23"/>
    <n v="119.62"/>
    <n v="2827113184696"/>
    <n v="81.3"/>
    <n v="25.5"/>
    <n v="30.6"/>
    <n v="66834405"/>
    <n v="80.940434056761262"/>
    <d v="2026-10-01T00:00:00"/>
    <d v="1945-10-23T00:00:00"/>
  </r>
  <r>
    <n v="405"/>
    <x v="12"/>
    <x v="380"/>
    <x v="5"/>
    <s v="Changzhou"/>
    <s v="Solar equipment"/>
    <x v="12"/>
    <x v="1"/>
    <x v="0"/>
    <s v="Gao"/>
    <x v="296"/>
    <x v="160"/>
    <n v="1965"/>
    <n v="1"/>
    <n v="1"/>
    <n v="125.08"/>
    <n v="19910000000000"/>
    <n v="77"/>
    <n v="9.4"/>
    <n v="59.2"/>
    <n v="1397715000"/>
    <n v="61.748112166041068"/>
    <d v="2026-10-01T00:00:00"/>
    <d v="1965-01-01T00:00:00"/>
  </r>
  <r>
    <n v="405"/>
    <x v="3"/>
    <x v="381"/>
    <x v="12"/>
    <s v="London"/>
    <s v="Private equity"/>
    <x v="3"/>
    <x v="1"/>
    <x v="0"/>
    <s v="Grayken"/>
    <x v="29"/>
    <x v="160"/>
    <n v="1956"/>
    <n v="6"/>
    <n v="1"/>
    <n v="119.62"/>
    <n v="2827113184696"/>
    <n v="81.3"/>
    <n v="25.5"/>
    <n v="30.6"/>
    <n v="66834405"/>
    <n v="70.331970847954338"/>
    <d v="2026-10-01T00:00:00"/>
    <d v="1956-06-01T00:00:00"/>
  </r>
  <r>
    <n v="405"/>
    <x v="13"/>
    <x v="382"/>
    <x v="0"/>
    <s v="Lyon"/>
    <s v="Pharmaceuticals"/>
    <x v="13"/>
    <x v="0"/>
    <x v="0"/>
    <s v="Merieux"/>
    <x v="36"/>
    <x v="160"/>
    <n v="1938"/>
    <n v="1"/>
    <n v="1"/>
    <n v="110.05"/>
    <n v="2715518274227"/>
    <n v="82.5"/>
    <n v="24.2"/>
    <n v="60.7"/>
    <n v="67059887"/>
    <n v="88.748115790445141"/>
    <d v="2026-10-01T00:00:00"/>
    <d v="1938-01-01T00:00:00"/>
  </r>
  <r>
    <n v="405"/>
    <x v="12"/>
    <x v="383"/>
    <x v="5"/>
    <s v="Langfang"/>
    <s v="Natural gas distribution"/>
    <x v="12"/>
    <x v="1"/>
    <x v="0"/>
    <s v="Wang"/>
    <x v="297"/>
    <x v="160"/>
    <n v="1964"/>
    <n v="3"/>
    <n v="11"/>
    <n v="125.08"/>
    <n v="19910000000000"/>
    <n v="77"/>
    <n v="9.4"/>
    <n v="59.2"/>
    <n v="1397715000"/>
    <n v="62.556472991178133"/>
    <d v="2026-10-01T00:00:00"/>
    <d v="1964-03-11T00:00:00"/>
  </r>
  <r>
    <n v="405"/>
    <x v="10"/>
    <x v="384"/>
    <x v="23"/>
    <s v="Tel Aviv"/>
    <s v="Metalworking tools"/>
    <x v="10"/>
    <x v="1"/>
    <x v="0"/>
    <s v="Wertheimer"/>
    <x v="298"/>
    <x v="160"/>
    <n v="1926"/>
    <n v="7"/>
    <n v="16"/>
    <n v="108.15"/>
    <n v="395098666122"/>
    <n v="82.8"/>
    <n v="23.1"/>
    <n v="25.3"/>
    <n v="9053300"/>
    <n v="100.21149362970993"/>
    <d v="2026-10-01T00:00:00"/>
    <d v="1926-07-16T00:00:00"/>
  </r>
  <r>
    <n v="411"/>
    <x v="7"/>
    <x v="385"/>
    <x v="2"/>
    <s v="Mexico City"/>
    <s v="Beer, investments"/>
    <x v="7"/>
    <x v="0"/>
    <x v="1"/>
    <s v="Aramburuzabala"/>
    <x v="299"/>
    <x v="161"/>
    <n v="1963"/>
    <n v="5"/>
    <n v="2"/>
    <n v="141.54"/>
    <n v="1258286717125"/>
    <n v="75"/>
    <n v="13.1"/>
    <n v="55.1"/>
    <n v="126014024"/>
    <n v="63.416837782340863"/>
    <d v="2026-10-01T00:00:00"/>
    <d v="1963-05-02T00:00:00"/>
  </r>
  <r>
    <n v="411"/>
    <x v="6"/>
    <x v="386"/>
    <x v="19"/>
    <s v="Stockholm"/>
    <s v="Investments"/>
    <x v="6"/>
    <x v="1"/>
    <x v="0"/>
    <s v="Douglas"/>
    <x v="300"/>
    <x v="161"/>
    <n v="1938"/>
    <n v="3"/>
    <n v="3"/>
    <n v="110.51"/>
    <n v="530832908738"/>
    <n v="82.5"/>
    <n v="27.9"/>
    <n v="49.1"/>
    <n v="10285453"/>
    <n v="88.581105608022895"/>
    <d v="2026-10-01T00:00:00"/>
    <d v="1938-03-03T00:00:00"/>
  </r>
  <r>
    <n v="411"/>
    <x v="14"/>
    <x v="387"/>
    <x v="35"/>
    <s v="Amsterdam"/>
    <s v="Temp agency"/>
    <x v="14"/>
    <x v="1"/>
    <x v="0"/>
    <s v="Goldschmeding"/>
    <x v="301"/>
    <x v="161"/>
    <n v="1933"/>
    <n v="8"/>
    <n v="2"/>
    <n v="115.91"/>
    <n v="909070395161"/>
    <n v="81.8"/>
    <n v="23"/>
    <n v="41.2"/>
    <n v="17332850"/>
    <n v="93.164943348964556"/>
    <d v="2026-10-01T00:00:00"/>
    <d v="1933-08-02T00:00:00"/>
  </r>
  <r>
    <n v="411"/>
    <x v="7"/>
    <x v="388"/>
    <x v="5"/>
    <s v="Shenzhen"/>
    <s v="Beverages"/>
    <x v="7"/>
    <x v="1"/>
    <x v="0"/>
    <s v="Lin"/>
    <x v="302"/>
    <x v="161"/>
    <n v="1964"/>
    <n v="1"/>
    <n v="1"/>
    <n v="125.08"/>
    <n v="19910000000000"/>
    <n v="77"/>
    <n v="9.4"/>
    <n v="59.2"/>
    <n v="1397715000"/>
    <n v="62.748120464125854"/>
    <d v="2026-10-01T00:00:00"/>
    <d v="1964-01-01T00:00:00"/>
  </r>
  <r>
    <n v="411"/>
    <x v="10"/>
    <x v="389"/>
    <x v="5"/>
    <s v="Ningbo"/>
    <s v="Power strips"/>
    <x v="10"/>
    <x v="1"/>
    <x v="0"/>
    <s v="Ruan"/>
    <x v="172"/>
    <x v="161"/>
    <n v="1964"/>
    <n v="1"/>
    <n v="1"/>
    <n v="125.08"/>
    <n v="19910000000000"/>
    <n v="77"/>
    <n v="9.4"/>
    <n v="59.2"/>
    <n v="1397715000"/>
    <n v="62.748120464125854"/>
    <d v="2026-10-01T00:00:00"/>
    <d v="1964-01-01T00:00:00"/>
  </r>
  <r>
    <n v="411"/>
    <x v="10"/>
    <x v="390"/>
    <x v="5"/>
    <s v="Ningbo"/>
    <s v="Power strip"/>
    <x v="10"/>
    <x v="1"/>
    <x v="0"/>
    <s v="Ruan"/>
    <x v="303"/>
    <x v="161"/>
    <n v="1972"/>
    <n v="1"/>
    <n v="1"/>
    <n v="125.08"/>
    <n v="19910000000000"/>
    <n v="77"/>
    <n v="9.4"/>
    <n v="59.2"/>
    <n v="1397715000"/>
    <n v="54.748120862163375"/>
    <d v="2026-10-01T00:00:00"/>
    <d v="1972-01-01T00:00:00"/>
  </r>
  <r>
    <n v="411"/>
    <x v="3"/>
    <x v="391"/>
    <x v="36"/>
    <s v="Kielce"/>
    <s v="Investments"/>
    <x v="3"/>
    <x v="1"/>
    <x v="0"/>
    <s v="Solowow"/>
    <x v="304"/>
    <x v="161"/>
    <n v="1962"/>
    <n v="7"/>
    <n v="11"/>
    <n v="114.11"/>
    <n v="592164400688"/>
    <n v="77.599999999999994"/>
    <n v="17.399999999999999"/>
    <n v="40.799999999999997"/>
    <n v="37970874"/>
    <n v="64.225180068236384"/>
    <d v="2026-10-01T00:00:00"/>
    <d v="1962-07-11T00:00:00"/>
  </r>
  <r>
    <n v="418"/>
    <x v="6"/>
    <x v="392"/>
    <x v="22"/>
    <s v="Lagos"/>
    <s v="Telecom, oil"/>
    <x v="6"/>
    <x v="1"/>
    <x v="0"/>
    <s v="Adenuga"/>
    <x v="135"/>
    <x v="162"/>
    <n v="1953"/>
    <n v="4"/>
    <n v="29"/>
    <n v="267.51"/>
    <n v="448120428859"/>
    <n v="54.3"/>
    <n v="1.5"/>
    <n v="34.799999999999997"/>
    <n v="200963599"/>
    <n v="73.425040698534858"/>
    <d v="2026-10-01T00:00:00"/>
    <d v="1953-04-29T00:00:00"/>
  </r>
  <r>
    <n v="418"/>
    <x v="3"/>
    <x v="393"/>
    <x v="1"/>
    <s v="Beverly Hills"/>
    <s v="Private equity"/>
    <x v="3"/>
    <x v="1"/>
    <x v="0"/>
    <s v="Gores"/>
    <x v="305"/>
    <x v="162"/>
    <n v="1964"/>
    <n v="7"/>
    <n v="31"/>
    <n v="117.24"/>
    <n v="21427700000000"/>
    <n v="78.5"/>
    <n v="9.6"/>
    <n v="36.6"/>
    <n v="328239523"/>
    <n v="62.167702403198469"/>
    <d v="2026-10-01T00:00:00"/>
    <d v="1964-07-31T00:00:00"/>
  </r>
  <r>
    <n v="418"/>
    <x v="0"/>
    <x v="394"/>
    <x v="7"/>
    <s v="Hamburg"/>
    <s v="Coffee"/>
    <x v="0"/>
    <x v="0"/>
    <x v="0"/>
    <s v="Herz"/>
    <x v="6"/>
    <x v="162"/>
    <n v="1943"/>
    <n v="9"/>
    <n v="28"/>
    <n v="112.85"/>
    <n v="3845630030824"/>
    <n v="80.900000000000006"/>
    <n v="11.5"/>
    <n v="48.8"/>
    <n v="83132799"/>
    <n v="83.008898015058179"/>
    <d v="2026-10-01T00:00:00"/>
    <d v="1943-09-28T00:00:00"/>
  </r>
  <r>
    <n v="418"/>
    <x v="0"/>
    <x v="395"/>
    <x v="7"/>
    <s v="Hamburg"/>
    <s v="Coffee"/>
    <x v="0"/>
    <x v="0"/>
    <x v="0"/>
    <s v="Herz"/>
    <x v="306"/>
    <x v="162"/>
    <n v="1951"/>
    <n v="1"/>
    <n v="1"/>
    <n v="112.85"/>
    <n v="3845630030824"/>
    <n v="80.900000000000006"/>
    <n v="11.5"/>
    <n v="48.8"/>
    <n v="83132799"/>
    <n v="75.748117727583846"/>
    <d v="2026-10-01T00:00:00"/>
    <d v="1951-01-01T00:00:00"/>
  </r>
  <r>
    <n v="425"/>
    <x v="11"/>
    <x v="396"/>
    <x v="16"/>
    <s v="Moscow"/>
    <s v="Steel, mining"/>
    <x v="11"/>
    <x v="1"/>
    <x v="0"/>
    <s v="Abramov"/>
    <x v="171"/>
    <x v="163"/>
    <n v="1959"/>
    <n v="2"/>
    <n v="20"/>
    <n v="180.75"/>
    <n v="1699876578871"/>
    <n v="72.7"/>
    <n v="11.4"/>
    <n v="46.2"/>
    <n v="144373535"/>
    <n v="67.611225188227237"/>
    <d v="2026-10-01T00:00:00"/>
    <d v="1959-02-20T00:00:00"/>
  </r>
  <r>
    <n v="425"/>
    <x v="15"/>
    <x v="397"/>
    <x v="1"/>
    <s v="Chicago"/>
    <s v="Real estate"/>
    <x v="15"/>
    <x v="1"/>
    <x v="0"/>
    <s v="Bluhm"/>
    <x v="307"/>
    <x v="163"/>
    <n v="1938"/>
    <n v="1"/>
    <n v="12"/>
    <n v="117.24"/>
    <n v="21427700000000"/>
    <n v="78.5"/>
    <n v="9.6"/>
    <n v="36.6"/>
    <n v="328239523"/>
    <n v="88.717999200172272"/>
    <d v="2026-10-01T00:00:00"/>
    <d v="1938-01-12T00:00:00"/>
  </r>
  <r>
    <n v="425"/>
    <x v="0"/>
    <x v="398"/>
    <x v="6"/>
    <s v="Montreal"/>
    <s v="Convinience stores"/>
    <x v="0"/>
    <x v="1"/>
    <x v="0"/>
    <s v="Bouchard"/>
    <x v="36"/>
    <x v="163"/>
    <n v="1949"/>
    <n v="2"/>
    <n v="18"/>
    <n v="116.76"/>
    <n v="1736425629520"/>
    <n v="81.900000000000006"/>
    <n v="12.8"/>
    <n v="24.5"/>
    <n v="36991981"/>
    <n v="77.616694162659272"/>
    <d v="2026-10-01T00:00:00"/>
    <d v="1949-02-18T00:00:00"/>
  </r>
  <r>
    <n v="425"/>
    <x v="2"/>
    <x v="399"/>
    <x v="1"/>
    <s v="Reno"/>
    <s v="Security software"/>
    <x v="2"/>
    <x v="1"/>
    <x v="0"/>
    <s v="Chaudhry"/>
    <x v="308"/>
    <x v="163"/>
    <n v="1959"/>
    <n v="8"/>
    <n v="26"/>
    <n v="117.24"/>
    <n v="21427700000000"/>
    <n v="78.5"/>
    <n v="9.6"/>
    <n v="36.6"/>
    <n v="328239523"/>
    <n v="67.099247091033533"/>
    <d v="2026-10-01T00:00:00"/>
    <d v="1959-08-26T00:00:00"/>
  </r>
  <r>
    <n v="425"/>
    <x v="0"/>
    <x v="400"/>
    <x v="3"/>
    <s v="Mumbai"/>
    <s v="Retail, investments"/>
    <x v="0"/>
    <x v="1"/>
    <x v="0"/>
    <s v="Damani"/>
    <x v="309"/>
    <x v="163"/>
    <n v="1958"/>
    <n v="1"/>
    <n v="1"/>
    <n v="180.44"/>
    <n v="2611000000000"/>
    <n v="69.400000000000006"/>
    <n v="11.2"/>
    <n v="49.7"/>
    <n v="1366417754"/>
    <n v="68.748115228950084"/>
    <d v="2026-10-01T00:00:00"/>
    <d v="1958-01-01T00:00:00"/>
  </r>
  <r>
    <n v="425"/>
    <x v="6"/>
    <x v="401"/>
    <x v="20"/>
    <s v="Bangkok"/>
    <s v="Diversified"/>
    <x v="6"/>
    <x v="0"/>
    <x v="0"/>
    <s v="Jiaravanon"/>
    <x v="310"/>
    <x v="163"/>
    <n v="1934"/>
    <n v="11"/>
    <n v="2"/>
    <n v="113.27"/>
    <n v="543649976166"/>
    <n v="76.900000000000006"/>
    <n v="14.9"/>
    <n v="29.5"/>
    <n v="69625582"/>
    <n v="91.913065237870939"/>
    <d v="2026-10-01T00:00:00"/>
    <d v="1934-11-02T00:00:00"/>
  </r>
  <r>
    <n v="425"/>
    <x v="3"/>
    <x v="402"/>
    <x v="23"/>
    <s v="Tel Aviv"/>
    <s v="Investments"/>
    <x v="3"/>
    <x v="1"/>
    <x v="0"/>
    <s v="Lowy"/>
    <x v="311"/>
    <x v="163"/>
    <n v="1930"/>
    <n v="10"/>
    <n v="22"/>
    <n v="108.15"/>
    <n v="395098666122"/>
    <n v="82.8"/>
    <n v="23.1"/>
    <n v="25.3"/>
    <n v="9053300"/>
    <n v="95.943182138925735"/>
    <d v="2026-10-01T00:00:00"/>
    <d v="1930-10-22T00:00:00"/>
  </r>
  <r>
    <n v="425"/>
    <x v="3"/>
    <x v="403"/>
    <x v="1"/>
    <s v="Los Angeles"/>
    <s v="Investments"/>
    <x v="3"/>
    <x v="1"/>
    <x v="0"/>
    <s v="Milken"/>
    <x v="6"/>
    <x v="163"/>
    <n v="1946"/>
    <n v="7"/>
    <n v="4"/>
    <n v="117.24"/>
    <n v="21427700000000"/>
    <n v="78.5"/>
    <n v="9.6"/>
    <n v="36.6"/>
    <n v="328239523"/>
    <n v="80.244346797363519"/>
    <d v="2026-10-01T00:00:00"/>
    <d v="1946-07-04T00:00:00"/>
  </r>
  <r>
    <n v="425"/>
    <x v="2"/>
    <x v="404"/>
    <x v="1"/>
    <s v="St. Louis"/>
    <s v="IT provider"/>
    <x v="2"/>
    <x v="1"/>
    <x v="0"/>
    <s v="Steward"/>
    <x v="20"/>
    <x v="163"/>
    <n v="1951"/>
    <n v="7"/>
    <n v="2"/>
    <n v="117.24"/>
    <n v="21427700000000"/>
    <n v="78.5"/>
    <n v="9.6"/>
    <n v="36.6"/>
    <n v="328239523"/>
    <n v="75.249828884325808"/>
    <d v="2026-10-01T00:00:00"/>
    <d v="1951-07-02T00:00:00"/>
  </r>
  <r>
    <n v="425"/>
    <x v="0"/>
    <x v="405"/>
    <x v="1"/>
    <s v="New Albany"/>
    <s v="Retail"/>
    <x v="0"/>
    <x v="1"/>
    <x v="0"/>
    <s v="Wexner"/>
    <x v="312"/>
    <x v="163"/>
    <n v="1937"/>
    <n v="9"/>
    <n v="8"/>
    <n v="117.24"/>
    <n v="21427700000000"/>
    <n v="78.5"/>
    <n v="9.6"/>
    <n v="36.6"/>
    <n v="328239523"/>
    <n v="89.063640788513013"/>
    <d v="2026-10-01T00:00:00"/>
    <d v="1937-09-08T00:00:00"/>
  </r>
  <r>
    <n v="437"/>
    <x v="15"/>
    <x v="406"/>
    <x v="5"/>
    <s v="Chengdu"/>
    <s v="Real estate"/>
    <x v="15"/>
    <x v="1"/>
    <x v="0"/>
    <s v="Cai"/>
    <x v="313"/>
    <x v="164"/>
    <n v="1963"/>
    <n v="1"/>
    <n v="1"/>
    <n v="125.08"/>
    <n v="19910000000000"/>
    <n v="77"/>
    <n v="9.4"/>
    <n v="59.2"/>
    <n v="1397715000"/>
    <n v="63.748117727583846"/>
    <d v="2026-10-01T00:00:00"/>
    <d v="1963-01-01T00:00:00"/>
  </r>
  <r>
    <n v="437"/>
    <x v="6"/>
    <x v="407"/>
    <x v="20"/>
    <s v="Bangkok"/>
    <s v="Diversified"/>
    <x v="6"/>
    <x v="0"/>
    <x v="0"/>
    <s v="Chiaravanont"/>
    <x v="314"/>
    <x v="164"/>
    <n v="1930"/>
    <n v="4"/>
    <n v="1"/>
    <n v="113.27"/>
    <n v="543649976166"/>
    <n v="76.900000000000006"/>
    <n v="14.9"/>
    <n v="29.5"/>
    <n v="69625582"/>
    <n v="96.50170764063337"/>
    <d v="2026-10-01T00:00:00"/>
    <d v="1930-04-01T00:00:00"/>
  </r>
  <r>
    <n v="437"/>
    <x v="3"/>
    <x v="408"/>
    <x v="1"/>
    <s v="Darien"/>
    <s v="Hedge funds"/>
    <x v="3"/>
    <x v="1"/>
    <x v="0"/>
    <s v="Halvorsen"/>
    <x v="120"/>
    <x v="164"/>
    <n v="1961"/>
    <n v="4"/>
    <n v="23"/>
    <n v="117.24"/>
    <n v="21427700000000"/>
    <n v="78.5"/>
    <n v="9.6"/>
    <n v="36.6"/>
    <n v="328239523"/>
    <n v="65.441466854724965"/>
    <d v="2026-10-01T00:00:00"/>
    <d v="1961-04-23T00:00:00"/>
  </r>
  <r>
    <n v="437"/>
    <x v="3"/>
    <x v="409"/>
    <x v="1"/>
    <s v="Los Angeles"/>
    <s v="Finance"/>
    <x v="3"/>
    <x v="1"/>
    <x v="0"/>
    <s v="Ressler"/>
    <x v="315"/>
    <x v="164"/>
    <n v="1960"/>
    <n v="10"/>
    <n v="12"/>
    <n v="117.24"/>
    <n v="21427700000000"/>
    <n v="78.5"/>
    <n v="9.6"/>
    <n v="36.6"/>
    <n v="328239523"/>
    <n v="65.967840797646289"/>
    <d v="2026-10-01T00:00:00"/>
    <d v="1960-10-12T00:00:00"/>
  </r>
  <r>
    <n v="437"/>
    <x v="7"/>
    <x v="410"/>
    <x v="5"/>
    <s v="Shanghai"/>
    <s v="Food, beverages"/>
    <x v="7"/>
    <x v="0"/>
    <x v="0"/>
    <s v="Tsai"/>
    <x v="316"/>
    <x v="164"/>
    <n v="1957"/>
    <n v="1"/>
    <n v="15"/>
    <n v="125.08"/>
    <n v="19910000000000"/>
    <n v="77"/>
    <n v="9.4"/>
    <n v="59.2"/>
    <n v="1397715000"/>
    <n v="69.709782141041188"/>
    <d v="2026-10-01T00:00:00"/>
    <d v="1957-01-15T00:00:00"/>
  </r>
  <r>
    <n v="442"/>
    <x v="3"/>
    <x v="411"/>
    <x v="1"/>
    <s v="Miami"/>
    <s v="Private equity"/>
    <x v="3"/>
    <x v="1"/>
    <x v="0"/>
    <s v="Harris"/>
    <x v="317"/>
    <x v="165"/>
    <n v="1964"/>
    <n v="12"/>
    <n v="29"/>
    <n v="117.24"/>
    <n v="21427700000000"/>
    <n v="78.5"/>
    <n v="9.6"/>
    <n v="36.6"/>
    <n v="328239523"/>
    <n v="61.754291425839817"/>
    <d v="2026-10-01T00:00:00"/>
    <d v="1964-12-29T00:00:00"/>
  </r>
  <r>
    <n v="442"/>
    <x v="13"/>
    <x v="412"/>
    <x v="33"/>
    <s v="Humlebaek"/>
    <s v="Medical devices"/>
    <x v="13"/>
    <x v="0"/>
    <x v="0"/>
    <s v="Louis-Hansen"/>
    <x v="318"/>
    <x v="165"/>
    <n v="1947"/>
    <n v="10"/>
    <n v="25"/>
    <n v="110.35"/>
    <n v="348078018464"/>
    <n v="81"/>
    <n v="32.4"/>
    <n v="23.8"/>
    <n v="5818553"/>
    <n v="78.934976043805619"/>
    <d v="2026-10-01T00:00:00"/>
    <d v="1947-10-25T00:00:00"/>
  </r>
  <r>
    <n v="442"/>
    <x v="13"/>
    <x v="413"/>
    <x v="1"/>
    <s v="Los Angeles"/>
    <s v="Pharmaceuticals"/>
    <x v="13"/>
    <x v="1"/>
    <x v="0"/>
    <s v="Soon-Shiong"/>
    <x v="206"/>
    <x v="165"/>
    <n v="1952"/>
    <n v="7"/>
    <n v="29"/>
    <n v="117.24"/>
    <n v="21427700000000"/>
    <n v="78.5"/>
    <n v="9.6"/>
    <n v="36.6"/>
    <n v="328239523"/>
    <n v="74.173176608016348"/>
    <d v="2026-10-01T00:00:00"/>
    <d v="1952-07-29T00:00:00"/>
  </r>
  <r>
    <n v="445"/>
    <x v="11"/>
    <x v="414"/>
    <x v="37"/>
    <s v="Donetsk"/>
    <s v="Steel, coal"/>
    <x v="11"/>
    <x v="1"/>
    <x v="0"/>
    <s v="Akhmetov"/>
    <x v="319"/>
    <x v="166"/>
    <n v="1966"/>
    <n v="9"/>
    <n v="21"/>
    <n v="281.66000000000003"/>
    <n v="153781069118"/>
    <n v="71.599999999999994"/>
    <n v="20.100000000000001"/>
    <n v="45.2"/>
    <n v="44385155"/>
    <n v="60.028052064631957"/>
    <d v="2026-10-01T00:00:00"/>
    <d v="1966-09-21T00:00:00"/>
  </r>
  <r>
    <n v="445"/>
    <x v="13"/>
    <x v="415"/>
    <x v="1"/>
    <s v="Atlanta"/>
    <s v="Medical equipment"/>
    <x v="13"/>
    <x v="1"/>
    <x v="0"/>
    <s v="Brown"/>
    <x v="29"/>
    <x v="166"/>
    <n v="1934"/>
    <n v="9"/>
    <n v="15"/>
    <n v="117.24"/>
    <n v="21427700000000"/>
    <n v="78.5"/>
    <n v="9.6"/>
    <n v="36.6"/>
    <n v="328239523"/>
    <n v="92.044483042863874"/>
    <d v="2026-10-01T00:00:00"/>
    <d v="1934-09-15T00:00:00"/>
  </r>
  <r>
    <n v="445"/>
    <x v="12"/>
    <x v="416"/>
    <x v="6"/>
    <s v="Saint John"/>
    <s v="Oil"/>
    <x v="12"/>
    <x v="0"/>
    <x v="0"/>
    <s v="Irving"/>
    <x v="226"/>
    <x v="166"/>
    <n v="1930"/>
    <n v="1"/>
    <n v="1"/>
    <n v="116.76"/>
    <n v="1736425629520"/>
    <n v="81.900000000000006"/>
    <n v="12.8"/>
    <n v="24.5"/>
    <n v="36991981"/>
    <n v="96.748115950210277"/>
    <d v="2026-10-01T00:00:00"/>
    <d v="1930-01-01T00:00:00"/>
  </r>
  <r>
    <n v="445"/>
    <x v="15"/>
    <x v="417"/>
    <x v="19"/>
    <s v="Stockholm"/>
    <s v="Real estate, investments"/>
    <x v="15"/>
    <x v="0"/>
    <x v="0"/>
    <s v="Lundberg"/>
    <x v="320"/>
    <x v="166"/>
    <n v="1951"/>
    <n v="8"/>
    <n v="5"/>
    <n v="110.51"/>
    <n v="530832908738"/>
    <n v="82.5"/>
    <n v="27.9"/>
    <n v="49.1"/>
    <n v="10285453"/>
    <n v="75.156741957563312"/>
    <d v="2026-10-01T00:00:00"/>
    <d v="1951-08-05T00:00:00"/>
  </r>
  <r>
    <n v="445"/>
    <x v="16"/>
    <x v="418"/>
    <x v="8"/>
    <s v="Jona"/>
    <s v="Cement"/>
    <x v="16"/>
    <x v="0"/>
    <x v="0"/>
    <s v="Schmidheiny"/>
    <x v="49"/>
    <x v="166"/>
    <n v="1945"/>
    <n v="12"/>
    <n v="17"/>
    <n v="99.55"/>
    <n v="703082435360"/>
    <n v="83.6"/>
    <n v="10.1"/>
    <n v="28.8"/>
    <n v="8574832"/>
    <n v="80.789849749582643"/>
    <d v="2026-10-01T00:00:00"/>
    <d v="1945-12-17T00:00:00"/>
  </r>
  <r>
    <n v="445"/>
    <x v="3"/>
    <x v="419"/>
    <x v="1"/>
    <s v="New York"/>
    <s v="Investments"/>
    <x v="3"/>
    <x v="0"/>
    <x v="0"/>
    <s v="Ziff"/>
    <x v="79"/>
    <x v="166"/>
    <n v="1971"/>
    <n v="11"/>
    <n v="2"/>
    <n v="117.24"/>
    <n v="21427700000000"/>
    <n v="78.5"/>
    <n v="9.6"/>
    <n v="36.6"/>
    <n v="328239523"/>
    <n v="54.913073237508556"/>
    <d v="2026-10-01T00:00:00"/>
    <d v="1971-11-02T00:00:00"/>
  </r>
  <r>
    <n v="445"/>
    <x v="3"/>
    <x v="420"/>
    <x v="1"/>
    <s v="North Palm Beach"/>
    <s v="Investments"/>
    <x v="3"/>
    <x v="0"/>
    <x v="0"/>
    <s v="Ziff"/>
    <x v="321"/>
    <x v="166"/>
    <n v="1964"/>
    <n v="4"/>
    <n v="1"/>
    <n v="117.24"/>
    <n v="21427700000000"/>
    <n v="78.5"/>
    <n v="9.6"/>
    <n v="36.6"/>
    <n v="328239523"/>
    <n v="62.498978749293819"/>
    <d v="2026-10-01T00:00:00"/>
    <d v="1964-04-01T00:00:00"/>
  </r>
  <r>
    <n v="445"/>
    <x v="3"/>
    <x v="421"/>
    <x v="1"/>
    <s v="New York"/>
    <s v="Investments"/>
    <x v="3"/>
    <x v="0"/>
    <x v="0"/>
    <s v="Ziff"/>
    <x v="92"/>
    <x v="166"/>
    <n v="1966"/>
    <n v="8"/>
    <n v="12"/>
    <n v="117.24"/>
    <n v="21427700000000"/>
    <n v="78.5"/>
    <n v="9.6"/>
    <n v="36.6"/>
    <n v="328239523"/>
    <n v="60.137567324955121"/>
    <d v="2026-10-01T00:00:00"/>
    <d v="1966-08-12T00:00:00"/>
  </r>
  <r>
    <n v="455"/>
    <x v="12"/>
    <x v="422"/>
    <x v="1"/>
    <s v="Dallas"/>
    <s v="Oil, real estate"/>
    <x v="12"/>
    <x v="0"/>
    <x v="0"/>
    <s v="Hunt"/>
    <x v="322"/>
    <x v="167"/>
    <n v="1943"/>
    <n v="4"/>
    <n v="6"/>
    <n v="117.24"/>
    <n v="21427700000000"/>
    <n v="78.5"/>
    <n v="9.6"/>
    <n v="36.6"/>
    <n v="328239523"/>
    <n v="83.488021902806295"/>
    <d v="2026-10-01T00:00:00"/>
    <d v="1943-04-06T00:00:00"/>
  </r>
  <r>
    <n v="455"/>
    <x v="8"/>
    <x v="423"/>
    <x v="5"/>
    <s v="Shanghai"/>
    <s v="Package delivery"/>
    <x v="8"/>
    <x v="1"/>
    <x v="0"/>
    <s v="Lai"/>
    <x v="323"/>
    <x v="167"/>
    <n v="1970"/>
    <n v="12"/>
    <n v="1"/>
    <n v="125.08"/>
    <n v="19910000000000"/>
    <n v="77"/>
    <n v="9.4"/>
    <n v="59.2"/>
    <n v="1397715000"/>
    <n v="55.833661559152695"/>
    <d v="2026-10-01T00:00:00"/>
    <d v="1970-12-01T00:00:00"/>
  </r>
  <r>
    <n v="455"/>
    <x v="1"/>
    <x v="424"/>
    <x v="3"/>
    <s v="Delhi"/>
    <s v="Motorcycles"/>
    <x v="1"/>
    <x v="0"/>
    <x v="0"/>
    <s v="Lal"/>
    <x v="324"/>
    <x v="167"/>
    <n v="1942"/>
    <n v="3"/>
    <n v="5"/>
    <n v="180.44"/>
    <n v="2611000000000"/>
    <n v="69.400000000000006"/>
    <n v="11.2"/>
    <n v="49.7"/>
    <n v="1366417754"/>
    <n v="84.575629710751784"/>
    <d v="2026-10-01T00:00:00"/>
    <d v="1942-03-05T00:00:00"/>
  </r>
  <r>
    <n v="455"/>
    <x v="3"/>
    <x v="425"/>
    <x v="1"/>
    <s v="Sands Point"/>
    <s v="Investments"/>
    <x v="3"/>
    <x v="1"/>
    <x v="0"/>
    <s v="Langone"/>
    <x v="32"/>
    <x v="167"/>
    <n v="1935"/>
    <n v="9"/>
    <n v="16"/>
    <n v="117.24"/>
    <n v="21427700000000"/>
    <n v="78.5"/>
    <n v="9.6"/>
    <n v="36.6"/>
    <n v="328239523"/>
    <n v="91.041752224503767"/>
    <d v="2026-10-01T00:00:00"/>
    <d v="1935-09-16T00:00:00"/>
  </r>
  <r>
    <n v="455"/>
    <x v="13"/>
    <x v="426"/>
    <x v="5"/>
    <s v="Shanghai"/>
    <s v="Pharmaceutical ingredients"/>
    <x v="13"/>
    <x v="1"/>
    <x v="0"/>
    <s v="Li"/>
    <x v="325"/>
    <x v="167"/>
    <n v="1967"/>
    <n v="1"/>
    <n v="1"/>
    <n v="125.08"/>
    <n v="19910000000000"/>
    <n v="77"/>
    <n v="9.4"/>
    <n v="59.2"/>
    <n v="1397715000"/>
    <n v="59.748117727583846"/>
    <d v="2026-10-01T00:00:00"/>
    <d v="1967-01-01T00:00:00"/>
  </r>
  <r>
    <n v="455"/>
    <x v="3"/>
    <x v="427"/>
    <x v="1"/>
    <s v="Branford"/>
    <s v="Hotels, investments"/>
    <x v="3"/>
    <x v="0"/>
    <x v="1"/>
    <s v="Pritzker"/>
    <x v="326"/>
    <x v="167"/>
    <n v="1958"/>
    <n v="1"/>
    <n v="7"/>
    <n v="117.24"/>
    <n v="21427700000000"/>
    <n v="78.5"/>
    <n v="9.6"/>
    <n v="36.6"/>
    <n v="328239523"/>
    <n v="68.731687961272911"/>
    <d v="2026-10-01T00:00:00"/>
    <d v="1958-01-07T00:00:00"/>
  </r>
  <r>
    <n v="455"/>
    <x v="14"/>
    <x v="428"/>
    <x v="1"/>
    <s v="Dallas"/>
    <s v="Hotels, investments"/>
    <x v="14"/>
    <x v="0"/>
    <x v="0"/>
    <s v="Rowling"/>
    <x v="92"/>
    <x v="167"/>
    <n v="1953"/>
    <n v="9"/>
    <n v="26"/>
    <n v="117.24"/>
    <n v="21427700000000"/>
    <n v="78.5"/>
    <n v="9.6"/>
    <n v="36.6"/>
    <n v="328239523"/>
    <n v="73.014355483202607"/>
    <d v="2026-10-01T00:00:00"/>
    <d v="1953-09-26T00:00:00"/>
  </r>
  <r>
    <n v="455"/>
    <x v="9"/>
    <x v="429"/>
    <x v="23"/>
    <s v="Tel Aviv"/>
    <s v="Gambling software"/>
    <x v="9"/>
    <x v="1"/>
    <x v="0"/>
    <s v="Sagi"/>
    <x v="327"/>
    <x v="167"/>
    <n v="1971"/>
    <n v="11"/>
    <n v="1"/>
    <n v="108.15"/>
    <n v="395098666122"/>
    <n v="82.8"/>
    <n v="23.1"/>
    <n v="25.3"/>
    <n v="9053300"/>
    <n v="54.91581108829569"/>
    <d v="2026-10-01T00:00:00"/>
    <d v="1971-11-01T00:00:00"/>
  </r>
  <r>
    <n v="455"/>
    <x v="13"/>
    <x v="430"/>
    <x v="28"/>
    <s v="Seoul"/>
    <s v="Biotech"/>
    <x v="13"/>
    <x v="1"/>
    <x v="0"/>
    <s v="Seo"/>
    <x v="328"/>
    <x v="167"/>
    <n v="1957"/>
    <n v="10"/>
    <n v="23"/>
    <n v="115.16"/>
    <n v="2029000000000"/>
    <n v="82.6"/>
    <n v="15.6"/>
    <n v="33.200000000000003"/>
    <n v="51709098"/>
    <n v="68.940431024367356"/>
    <d v="2026-10-01T00:00:00"/>
    <d v="1957-10-23T00:00:00"/>
  </r>
  <r>
    <n v="455"/>
    <x v="1"/>
    <x v="431"/>
    <x v="5"/>
    <s v="Ningbo"/>
    <s v="Auto parts"/>
    <x v="1"/>
    <x v="1"/>
    <x v="0"/>
    <s v="Wu"/>
    <x v="329"/>
    <x v="167"/>
    <n v="1964"/>
    <n v="1"/>
    <n v="1"/>
    <n v="125.08"/>
    <n v="19910000000000"/>
    <n v="77"/>
    <n v="9.4"/>
    <n v="59.2"/>
    <n v="1397715000"/>
    <n v="62.748120464125854"/>
    <d v="2026-10-01T00:00:00"/>
    <d v="1964-01-01T00:00:00"/>
  </r>
  <r>
    <n v="466"/>
    <x v="14"/>
    <x v="432"/>
    <x v="1"/>
    <s v="Bal Harbour"/>
    <s v="Carnival Cruises"/>
    <x v="14"/>
    <x v="0"/>
    <x v="0"/>
    <s v="Arison"/>
    <x v="330"/>
    <x v="168"/>
    <n v="1949"/>
    <n v="6"/>
    <n v="29"/>
    <n v="117.24"/>
    <n v="21427700000000"/>
    <n v="78.5"/>
    <n v="9.6"/>
    <n v="36.6"/>
    <n v="328239523"/>
    <n v="77.25802941486188"/>
    <d v="2026-10-01T00:00:00"/>
    <d v="1949-06-29T00:00:00"/>
  </r>
  <r>
    <n v="466"/>
    <x v="4"/>
    <x v="433"/>
    <x v="1"/>
    <s v="Palisades"/>
    <s v="Media, automotive"/>
    <x v="4"/>
    <x v="0"/>
    <x v="0"/>
    <s v="Chambers"/>
    <x v="58"/>
    <x v="168"/>
    <n v="1957"/>
    <n v="4"/>
    <n v="12"/>
    <n v="117.24"/>
    <n v="21427700000000"/>
    <n v="78.5"/>
    <n v="9.6"/>
    <n v="36.6"/>
    <n v="328239523"/>
    <n v="69.471584464348581"/>
    <d v="2026-10-01T00:00:00"/>
    <d v="1957-04-12T00:00:00"/>
  </r>
  <r>
    <n v="466"/>
    <x v="2"/>
    <x v="434"/>
    <x v="1"/>
    <s v="San Francisco"/>
    <s v="Payments software"/>
    <x v="2"/>
    <x v="1"/>
    <x v="0"/>
    <s v="Collison"/>
    <x v="29"/>
    <x v="168"/>
    <n v="1990"/>
    <n v="8"/>
    <n v="6"/>
    <n v="117.24"/>
    <n v="21427700000000"/>
    <n v="78.5"/>
    <n v="9.6"/>
    <n v="36.6"/>
    <n v="328239523"/>
    <n v="36.153988456415568"/>
    <d v="2026-10-01T00:00:00"/>
    <d v="1990-08-06T00:00:00"/>
  </r>
  <r>
    <n v="466"/>
    <x v="2"/>
    <x v="435"/>
    <x v="1"/>
    <s v="San Francisco"/>
    <s v="Payment software"/>
    <x v="2"/>
    <x v="1"/>
    <x v="0"/>
    <s v="Collison"/>
    <x v="206"/>
    <x v="168"/>
    <n v="1988"/>
    <n v="9"/>
    <n v="9"/>
    <n v="117.24"/>
    <n v="21427700000000"/>
    <n v="78.5"/>
    <n v="9.6"/>
    <n v="36.6"/>
    <n v="328239523"/>
    <n v="38.058195858195859"/>
    <d v="2026-10-01T00:00:00"/>
    <d v="1988-09-09T00:00:00"/>
  </r>
  <r>
    <n v="466"/>
    <x v="10"/>
    <x v="436"/>
    <x v="1"/>
    <s v="Redding"/>
    <s v="Timberland, lumber mills"/>
    <x v="10"/>
    <x v="1"/>
    <x v="0"/>
    <s v="Emmerson"/>
    <x v="331"/>
    <x v="168"/>
    <n v="1929"/>
    <n v="4"/>
    <n v="10"/>
    <n v="117.24"/>
    <n v="21427700000000"/>
    <n v="78.5"/>
    <n v="9.6"/>
    <n v="36.6"/>
    <n v="328239523"/>
    <n v="97.477063194948869"/>
    <d v="2026-10-01T00:00:00"/>
    <d v="1929-04-10T00:00:00"/>
  </r>
  <r>
    <n v="466"/>
    <x v="1"/>
    <x v="437"/>
    <x v="24"/>
    <s v="Modena"/>
    <s v="Automobiles"/>
    <x v="1"/>
    <x v="0"/>
    <x v="0"/>
    <s v="Ferrari"/>
    <x v="332"/>
    <x v="168"/>
    <n v="1945"/>
    <n v="5"/>
    <n v="22"/>
    <n v="110.62"/>
    <n v="2001244392042"/>
    <n v="82.9"/>
    <n v="24.3"/>
    <n v="59.1"/>
    <n v="60297396"/>
    <n v="81.362070116861432"/>
    <d v="2026-10-01T00:00:00"/>
    <d v="1945-05-22T00:00:00"/>
  </r>
  <r>
    <n v="466"/>
    <x v="1"/>
    <x v="438"/>
    <x v="1"/>
    <s v="Houston"/>
    <s v="Toyota dealerships"/>
    <x v="1"/>
    <x v="0"/>
    <x v="0"/>
    <s v="Friedkin"/>
    <x v="286"/>
    <x v="168"/>
    <n v="1965"/>
    <n v="2"/>
    <n v="27"/>
    <n v="117.24"/>
    <n v="21427700000000"/>
    <n v="78.5"/>
    <n v="9.6"/>
    <n v="36.6"/>
    <n v="328239523"/>
    <n v="61.59205122543608"/>
    <d v="2026-10-01T00:00:00"/>
    <d v="1965-02-27T00:00:00"/>
  </r>
  <r>
    <n v="466"/>
    <x v="6"/>
    <x v="439"/>
    <x v="6"/>
    <s v="Saint John"/>
    <s v="Diversified"/>
    <x v="6"/>
    <x v="0"/>
    <x v="0"/>
    <s v="Irving"/>
    <x v="58"/>
    <x v="168"/>
    <n v="1928"/>
    <n v="3"/>
    <n v="20"/>
    <n v="116.76"/>
    <n v="1736425629520"/>
    <n v="81.900000000000006"/>
    <n v="12.8"/>
    <n v="24.5"/>
    <n v="36991981"/>
    <n v="98.5318307522124"/>
    <d v="2026-10-01T00:00:00"/>
    <d v="1928-03-20T00:00:00"/>
  </r>
  <r>
    <n v="466"/>
    <x v="10"/>
    <x v="440"/>
    <x v="5"/>
    <s v="Chengdu"/>
    <s v="Chemicals"/>
    <x v="10"/>
    <x v="1"/>
    <x v="0"/>
    <s v="Jiang"/>
    <x v="333"/>
    <x v="168"/>
    <n v="1955"/>
    <n v="3"/>
    <n v="1"/>
    <n v="125.08"/>
    <n v="19910000000000"/>
    <n v="77"/>
    <n v="9.4"/>
    <n v="59.2"/>
    <n v="1397715000"/>
    <n v="71.586584531143046"/>
    <d v="2026-10-01T00:00:00"/>
    <d v="1955-03-01T00:00:00"/>
  </r>
  <r>
    <n v="466"/>
    <x v="13"/>
    <x v="441"/>
    <x v="7"/>
    <s v="Heidelberg"/>
    <s v="Pharmaceuticals"/>
    <x v="13"/>
    <x v="1"/>
    <x v="0"/>
    <s v="Marguerre"/>
    <x v="306"/>
    <x v="168"/>
    <n v="1941"/>
    <n v="6"/>
    <n v="4"/>
    <n v="112.85"/>
    <n v="3845630030824"/>
    <n v="80.900000000000006"/>
    <n v="11.5"/>
    <n v="48.8"/>
    <n v="83132799"/>
    <n v="85.326477985419118"/>
    <d v="2026-10-01T00:00:00"/>
    <d v="1941-06-04T00:00:00"/>
  </r>
  <r>
    <n v="466"/>
    <x v="3"/>
    <x v="442"/>
    <x v="7"/>
    <s v="Ulm"/>
    <s v="Pharmaceuticals"/>
    <x v="3"/>
    <x v="0"/>
    <x v="0"/>
    <s v="Merckle"/>
    <x v="334"/>
    <x v="168"/>
    <n v="1965"/>
    <n v="1"/>
    <n v="1"/>
    <n v="112.85"/>
    <n v="3845630030824"/>
    <n v="80.900000000000006"/>
    <n v="11.5"/>
    <n v="48.8"/>
    <n v="83132799"/>
    <n v="61.748112166041068"/>
    <d v="2026-10-01T00:00:00"/>
    <d v="1965-01-01T00:00:00"/>
  </r>
  <r>
    <n v="466"/>
    <x v="10"/>
    <x v="443"/>
    <x v="1"/>
    <s v="Potomac"/>
    <s v="Manufacturing, investments"/>
    <x v="10"/>
    <x v="1"/>
    <x v="0"/>
    <s v="Rales"/>
    <x v="335"/>
    <x v="168"/>
    <n v="1956"/>
    <n v="8"/>
    <n v="21"/>
    <n v="117.24"/>
    <n v="21427700000000"/>
    <n v="78.5"/>
    <n v="9.6"/>
    <n v="36.6"/>
    <n v="328239523"/>
    <n v="70.110207072070338"/>
    <d v="2026-10-01T00:00:00"/>
    <d v="1956-08-21T00:00:00"/>
  </r>
  <r>
    <n v="466"/>
    <x v="4"/>
    <x v="444"/>
    <x v="1"/>
    <s v="East Hampton"/>
    <s v="Media, automotive"/>
    <x v="4"/>
    <x v="0"/>
    <x v="1"/>
    <s v="Rayner"/>
    <x v="336"/>
    <x v="168"/>
    <n v="1945"/>
    <n v="1"/>
    <n v="12"/>
    <n v="117.24"/>
    <n v="21427700000000"/>
    <n v="78.5"/>
    <n v="9.6"/>
    <n v="36.6"/>
    <n v="328239523"/>
    <n v="81.717996661101836"/>
    <d v="2026-10-01T00:00:00"/>
    <d v="1945-01-12T00:00:00"/>
  </r>
  <r>
    <n v="466"/>
    <x v="3"/>
    <x v="445"/>
    <x v="1"/>
    <s v="New York"/>
    <s v="Hedge funds"/>
    <x v="3"/>
    <x v="1"/>
    <x v="0"/>
    <s v="Singer"/>
    <x v="337"/>
    <x v="168"/>
    <n v="1944"/>
    <n v="8"/>
    <n v="22"/>
    <n v="117.24"/>
    <n v="21427700000000"/>
    <n v="78.5"/>
    <n v="9.6"/>
    <n v="36.6"/>
    <n v="328239523"/>
    <n v="82.107468003694422"/>
    <d v="2026-10-01T00:00:00"/>
    <d v="1944-08-22T00:00:00"/>
  </r>
  <r>
    <n v="466"/>
    <x v="13"/>
    <x v="446"/>
    <x v="24"/>
    <s v="Venice"/>
    <s v="Medical packaging"/>
    <x v="13"/>
    <x v="1"/>
    <x v="0"/>
    <s v="Stevanato"/>
    <x v="338"/>
    <x v="168"/>
    <n v="1943"/>
    <n v="3"/>
    <n v="20"/>
    <n v="110.62"/>
    <n v="2001244392042"/>
    <n v="82.9"/>
    <n v="24.3"/>
    <n v="59.1"/>
    <n v="60297396"/>
    <n v="83.534565366187536"/>
    <d v="2026-10-01T00:00:00"/>
    <d v="1943-03-20T00:00:00"/>
  </r>
  <r>
    <n v="466"/>
    <x v="4"/>
    <x v="447"/>
    <x v="1"/>
    <s v="Southampton"/>
    <s v="Media, automotive"/>
    <x v="4"/>
    <x v="0"/>
    <x v="1"/>
    <s v="Taylor"/>
    <x v="339"/>
    <x v="168"/>
    <n v="1942"/>
    <n v="4"/>
    <n v="15"/>
    <n v="117.24"/>
    <n v="21427700000000"/>
    <n v="78.5"/>
    <n v="9.6"/>
    <n v="36.6"/>
    <n v="328239523"/>
    <n v="84.463376924563548"/>
    <d v="2026-10-01T00:00:00"/>
    <d v="1942-04-15T00:00:00"/>
  </r>
  <r>
    <n v="466"/>
    <x v="2"/>
    <x v="448"/>
    <x v="13"/>
    <s v="Sydney"/>
    <s v="Software"/>
    <x v="2"/>
    <x v="1"/>
    <x v="0"/>
    <s v="White"/>
    <x v="177"/>
    <x v="168"/>
    <n v="1955"/>
    <n v="4"/>
    <n v="1"/>
    <n v="119.8"/>
    <n v="1392680589329"/>
    <n v="82.7"/>
    <n v="23"/>
    <n v="47.4"/>
    <n v="25766605"/>
    <n v="71.501711156741962"/>
    <d v="2026-10-01T00:00:00"/>
    <d v="1955-04-01T00:00:00"/>
  </r>
  <r>
    <n v="466"/>
    <x v="6"/>
    <x v="449"/>
    <x v="5"/>
    <s v="Beijing"/>
    <s v="Biotech"/>
    <x v="6"/>
    <x v="1"/>
    <x v="1"/>
    <s v="Zhao"/>
    <x v="340"/>
    <x v="168"/>
    <n v="1967"/>
    <n v="1"/>
    <n v="1"/>
    <n v="125.08"/>
    <n v="19910000000000"/>
    <n v="77"/>
    <n v="9.4"/>
    <n v="59.2"/>
    <n v="1397715000"/>
    <n v="59.748117727583846"/>
    <d v="2026-10-01T00:00:00"/>
    <d v="1967-01-01T00:00:00"/>
  </r>
  <r>
    <n v="486"/>
    <x v="0"/>
    <x v="450"/>
    <x v="24"/>
    <s v="Milan"/>
    <s v="Luxury goods"/>
    <x v="0"/>
    <x v="1"/>
    <x v="0"/>
    <s v="Bertelli"/>
    <x v="341"/>
    <x v="169"/>
    <n v="1946"/>
    <n v="1"/>
    <n v="1"/>
    <n v="110.62"/>
    <n v="2001244392042"/>
    <n v="82.9"/>
    <n v="24.3"/>
    <n v="59.1"/>
    <n v="60297396"/>
    <n v="80.748115599121164"/>
    <d v="2026-10-01T00:00:00"/>
    <d v="1946-01-01T00:00:00"/>
  </r>
  <r>
    <n v="486"/>
    <x v="10"/>
    <x v="451"/>
    <x v="3"/>
    <s v="Mumbai"/>
    <s v="Paints"/>
    <x v="10"/>
    <x v="0"/>
    <x v="0"/>
    <s v="Choksi"/>
    <x v="342"/>
    <x v="169"/>
    <n v="1941"/>
    <n v="4"/>
    <n v="19"/>
    <n v="180.44"/>
    <n v="2611000000000"/>
    <n v="69.400000000000006"/>
    <n v="11.2"/>
    <n v="49.7"/>
    <n v="1366417754"/>
    <n v="85.452421126357009"/>
    <d v="2026-10-01T00:00:00"/>
    <d v="1941-04-19T00:00:00"/>
  </r>
  <r>
    <n v="486"/>
    <x v="3"/>
    <x v="452"/>
    <x v="1"/>
    <s v="Bloomfield Hills"/>
    <s v="Mortgage lender"/>
    <x v="3"/>
    <x v="0"/>
    <x v="0"/>
    <s v="Ishbia"/>
    <x v="343"/>
    <x v="169"/>
    <n v="1980"/>
    <n v="1"/>
    <n v="6"/>
    <n v="117.24"/>
    <n v="21427700000000"/>
    <n v="78.5"/>
    <n v="9.6"/>
    <n v="36.6"/>
    <n v="328239523"/>
    <n v="46.734432341119593"/>
    <d v="2026-10-01T00:00:00"/>
    <d v="1980-01-06T00:00:00"/>
  </r>
  <r>
    <n v="486"/>
    <x v="2"/>
    <x v="453"/>
    <x v="21"/>
    <s v="Singapore"/>
    <s v="IT provider"/>
    <x v="2"/>
    <x v="1"/>
    <x v="0"/>
    <s v="Koguan"/>
    <x v="344"/>
    <x v="169"/>
    <n v="1955"/>
    <n v="2"/>
    <n v="15"/>
    <n v="114.41"/>
    <n v="372062527489"/>
    <n v="83.1"/>
    <n v="13.1"/>
    <n v="21"/>
    <n v="5703569"/>
    <n v="71.624914442162904"/>
    <d v="2026-10-01T00:00:00"/>
    <d v="1955-02-15T00:00:00"/>
  </r>
  <r>
    <n v="486"/>
    <x v="6"/>
    <x v="454"/>
    <x v="5"/>
    <s v="Suzhou"/>
    <s v="Textiles, petrochemicals"/>
    <x v="6"/>
    <x v="1"/>
    <x v="0"/>
    <s v="Miao"/>
    <x v="345"/>
    <x v="169"/>
    <n v="1965"/>
    <n v="1"/>
    <n v="1"/>
    <n v="125.08"/>
    <n v="19910000000000"/>
    <n v="77"/>
    <n v="9.4"/>
    <n v="59.2"/>
    <n v="1397715000"/>
    <n v="61.748112166041068"/>
    <d v="2026-10-01T00:00:00"/>
    <d v="1965-01-01T00:00:00"/>
  </r>
  <r>
    <n v="486"/>
    <x v="10"/>
    <x v="455"/>
    <x v="8"/>
    <s v="Lucerne"/>
    <s v="Kitchen appliances"/>
    <x v="10"/>
    <x v="1"/>
    <x v="0"/>
    <s v="Pieper"/>
    <x v="6"/>
    <x v="169"/>
    <n v="1946"/>
    <n v="2"/>
    <n v="5"/>
    <n v="99.55"/>
    <n v="703082435360"/>
    <n v="83.6"/>
    <n v="10.1"/>
    <n v="28.8"/>
    <n v="8574832"/>
    <n v="80.652290011830317"/>
    <d v="2026-10-01T00:00:00"/>
    <d v="1946-02-05T00:00:00"/>
  </r>
  <r>
    <n v="486"/>
    <x v="0"/>
    <x v="456"/>
    <x v="24"/>
    <s v="Milan"/>
    <s v="Luxury goods"/>
    <x v="0"/>
    <x v="0"/>
    <x v="1"/>
    <s v="Prada"/>
    <x v="346"/>
    <x v="169"/>
    <n v="1949"/>
    <n v="5"/>
    <n v="10"/>
    <n v="110.62"/>
    <n v="2001244392042"/>
    <n v="82.9"/>
    <n v="24.3"/>
    <n v="59.1"/>
    <n v="60297396"/>
    <n v="77.39492435676928"/>
    <d v="2026-10-01T00:00:00"/>
    <d v="1949-05-10T00:00:00"/>
  </r>
  <r>
    <n v="486"/>
    <x v="0"/>
    <x v="457"/>
    <x v="7"/>
    <s v="Passau"/>
    <s v="Consumer goods"/>
    <x v="0"/>
    <x v="0"/>
    <x v="0"/>
    <s v="Reimann"/>
    <x v="306"/>
    <x v="169"/>
    <n v="1952"/>
    <n v="10"/>
    <n v="4"/>
    <n v="112.85"/>
    <n v="3845630030824"/>
    <n v="80.900000000000006"/>
    <n v="11.5"/>
    <n v="48.8"/>
    <n v="83132799"/>
    <n v="73.989742279331239"/>
    <d v="2026-10-01T00:00:00"/>
    <d v="1952-10-04T00:00:00"/>
  </r>
  <r>
    <n v="486"/>
    <x v="0"/>
    <x v="458"/>
    <x v="7"/>
    <s v="Munich"/>
    <s v="Consumer goods"/>
    <x v="0"/>
    <x v="0"/>
    <x v="0"/>
    <s v="Reimann-Andersen"/>
    <x v="347"/>
    <x v="169"/>
    <n v="1965"/>
    <n v="3"/>
    <n v="30"/>
    <n v="112.85"/>
    <n v="3845630030824"/>
    <n v="80.900000000000006"/>
    <n v="11.5"/>
    <n v="48.8"/>
    <n v="83132799"/>
    <n v="61.507175977036873"/>
    <d v="2026-10-01T00:00:00"/>
    <d v="1965-03-30T00:00:00"/>
  </r>
  <r>
    <n v="486"/>
    <x v="0"/>
    <x v="459"/>
    <x v="10"/>
    <s v="Vienna"/>
    <s v="Consumer goods"/>
    <x v="0"/>
    <x v="0"/>
    <x v="0"/>
    <s v="Reimann-Andersen"/>
    <x v="51"/>
    <x v="169"/>
    <n v="1963"/>
    <n v="7"/>
    <n v="13"/>
    <n v="118.06"/>
    <n v="446314739528"/>
    <n v="81.599999999999994"/>
    <n v="25.4"/>
    <n v="51.4"/>
    <n v="8877067"/>
    <n v="63.219712525667354"/>
    <d v="2026-10-01T00:00:00"/>
    <d v="1963-07-13T00:00:00"/>
  </r>
  <r>
    <n v="486"/>
    <x v="0"/>
    <x v="460"/>
    <x v="10"/>
    <s v="Vienna"/>
    <s v="Consumer goods"/>
    <x v="0"/>
    <x v="0"/>
    <x v="1"/>
    <s v="Reimann-Haas"/>
    <x v="348"/>
    <x v="169"/>
    <n v="1951"/>
    <n v="10"/>
    <n v="8"/>
    <n v="118.06"/>
    <n v="446314739528"/>
    <n v="81.599999999999994"/>
    <n v="25.4"/>
    <n v="51.4"/>
    <n v="8877067"/>
    <n v="74.98151950718686"/>
    <d v="2026-10-01T00:00:00"/>
    <d v="1951-10-08T00:00:00"/>
  </r>
  <r>
    <n v="497"/>
    <x v="3"/>
    <x v="461"/>
    <x v="1"/>
    <s v="Darien"/>
    <s v="Finance"/>
    <x v="3"/>
    <x v="1"/>
    <x v="0"/>
    <s v="Boehly"/>
    <x v="349"/>
    <x v="170"/>
    <n v="1973"/>
    <n v="9"/>
    <n v="20"/>
    <n v="117.24"/>
    <n v="21427700000000"/>
    <n v="78.5"/>
    <n v="9.6"/>
    <n v="36.6"/>
    <n v="328239523"/>
    <n v="53.03077625107742"/>
    <d v="2026-10-01T00:00:00"/>
    <d v="1973-09-20T00:00:00"/>
  </r>
  <r>
    <n v="497"/>
    <x v="15"/>
    <x v="462"/>
    <x v="1"/>
    <s v="Los Angeles"/>
    <s v="Real estate"/>
    <x v="15"/>
    <x v="1"/>
    <x v="0"/>
    <s v="Caruso"/>
    <x v="156"/>
    <x v="170"/>
    <n v="1959"/>
    <n v="1"/>
    <n v="7"/>
    <n v="117.24"/>
    <n v="21427700000000"/>
    <n v="78.5"/>
    <n v="9.6"/>
    <n v="36.6"/>
    <n v="328239523"/>
    <n v="67.731690622861052"/>
    <d v="2026-10-01T00:00:00"/>
    <d v="1959-01-07T00:00:00"/>
  </r>
  <r>
    <n v="497"/>
    <x v="10"/>
    <x v="463"/>
    <x v="38"/>
    <s v="Istanbul"/>
    <s v="Carpet"/>
    <x v="10"/>
    <x v="1"/>
    <x v="0"/>
    <s v="Erdemoglu"/>
    <x v="350"/>
    <x v="170"/>
    <n v="1962"/>
    <n v="9"/>
    <n v="26"/>
    <n v="234.44"/>
    <n v="754411708203"/>
    <n v="77.400000000000006"/>
    <n v="17.899999999999999"/>
    <n v="42.3"/>
    <n v="83429615"/>
    <n v="64.014363337685865"/>
    <d v="2026-10-01T00:00:00"/>
    <d v="1962-09-26T00:00:00"/>
  </r>
  <r>
    <n v="497"/>
    <x v="3"/>
    <x v="464"/>
    <x v="1"/>
    <s v="Boston"/>
    <s v="Fidelity"/>
    <x v="3"/>
    <x v="0"/>
    <x v="1"/>
    <s v="Johnson"/>
    <x v="351"/>
    <x v="170"/>
    <n v="1963"/>
    <n v="5"/>
    <n v="7"/>
    <n v="117.24"/>
    <n v="21427700000000"/>
    <n v="78.5"/>
    <n v="9.6"/>
    <n v="36.6"/>
    <n v="328239523"/>
    <n v="63.403148528405204"/>
    <d v="2026-10-01T00:00:00"/>
    <d v="1963-05-07T00:00:00"/>
  </r>
  <r>
    <n v="497"/>
    <x v="3"/>
    <x v="465"/>
    <x v="1"/>
    <s v="Atherton"/>
    <s v="Venture capital"/>
    <x v="3"/>
    <x v="1"/>
    <x v="0"/>
    <s v="Leone"/>
    <x v="352"/>
    <x v="170"/>
    <n v="1957"/>
    <n v="7"/>
    <n v="4"/>
    <n v="117.24"/>
    <n v="21427700000000"/>
    <n v="78.5"/>
    <n v="9.6"/>
    <n v="36.6"/>
    <n v="328239523"/>
    <n v="69.244338404975167"/>
    <d v="2026-10-01T00:00:00"/>
    <d v="1957-07-04T00:00:00"/>
  </r>
  <r>
    <n v="497"/>
    <x v="6"/>
    <x v="466"/>
    <x v="14"/>
    <s v="Jakarta"/>
    <s v="Petrochemicals"/>
    <x v="6"/>
    <x v="0"/>
    <x v="0"/>
    <s v="Pangestu"/>
    <x v="353"/>
    <x v="170"/>
    <n v="1944"/>
    <n v="5"/>
    <n v="13"/>
    <n v="151.18"/>
    <n v="1119190780753"/>
    <n v="71.5"/>
    <n v="10.199999999999999"/>
    <n v="30.1"/>
    <n v="270203917"/>
    <n v="82.383988652856573"/>
    <d v="2026-10-01T00:00:00"/>
    <d v="1944-05-13T00:00:00"/>
  </r>
  <r>
    <n v="497"/>
    <x v="3"/>
    <x v="467"/>
    <x v="1"/>
    <s v="Chicago"/>
    <s v="Hotels, investments"/>
    <x v="3"/>
    <x v="0"/>
    <x v="0"/>
    <s v="Pritzker"/>
    <x v="49"/>
    <x v="170"/>
    <n v="1950"/>
    <n v="6"/>
    <n v="6"/>
    <n v="117.24"/>
    <n v="21427700000000"/>
    <n v="78.5"/>
    <n v="9.6"/>
    <n v="36.6"/>
    <n v="328239523"/>
    <n v="76.321006969136675"/>
    <d v="2026-10-01T00:00:00"/>
    <d v="1950-06-06T00:00:00"/>
  </r>
  <r>
    <n v="497"/>
    <x v="7"/>
    <x v="468"/>
    <x v="1"/>
    <s v="Beverly Hills"/>
    <s v="Agriculture"/>
    <x v="7"/>
    <x v="1"/>
    <x v="1"/>
    <s v="Resnick"/>
    <x v="354"/>
    <x v="170"/>
    <n v="1943"/>
    <n v="1"/>
    <n v="2"/>
    <n v="117.24"/>
    <n v="21427700000000"/>
    <n v="78.5"/>
    <n v="9.6"/>
    <n v="36.6"/>
    <n v="328239523"/>
    <n v="83.745379876796719"/>
    <d v="2026-10-01T00:00:00"/>
    <d v="1943-01-02T00:00:00"/>
  </r>
  <r>
    <n v="497"/>
    <x v="7"/>
    <x v="469"/>
    <x v="1"/>
    <s v="Beverly Hills"/>
    <s v="Agriculture"/>
    <x v="7"/>
    <x v="1"/>
    <x v="0"/>
    <s v="Resnick"/>
    <x v="355"/>
    <x v="170"/>
    <n v="1936"/>
    <n v="12"/>
    <n v="24"/>
    <n v="117.24"/>
    <n v="21427700000000"/>
    <n v="78.5"/>
    <n v="9.6"/>
    <n v="36.6"/>
    <n v="328239523"/>
    <n v="89.767976412539866"/>
    <d v="2026-10-01T00:00:00"/>
    <d v="1936-12-24T00:00:00"/>
  </r>
  <r>
    <n v="497"/>
    <x v="14"/>
    <x v="470"/>
    <x v="1"/>
    <s v="Atlanta"/>
    <s v="Pest control"/>
    <x v="14"/>
    <x v="0"/>
    <x v="0"/>
    <s v="Rollins"/>
    <x v="356"/>
    <x v="170"/>
    <n v="1944"/>
    <n v="8"/>
    <n v="30"/>
    <n v="117.24"/>
    <n v="21427700000000"/>
    <n v="78.5"/>
    <n v="9.6"/>
    <n v="36.6"/>
    <n v="328239523"/>
    <n v="82.085565378018202"/>
    <d v="2026-10-01T00:00:00"/>
    <d v="1944-08-30T00:00:00"/>
  </r>
  <r>
    <n v="497"/>
    <x v="3"/>
    <x v="471"/>
    <x v="1"/>
    <s v="Chicago"/>
    <s v="Finance, asset management"/>
    <x v="3"/>
    <x v="1"/>
    <x v="0"/>
    <s v="Walter"/>
    <x v="14"/>
    <x v="170"/>
    <n v="1960"/>
    <n v="5"/>
    <n v="22"/>
    <n v="117.24"/>
    <n v="21427700000000"/>
    <n v="78.5"/>
    <n v="9.6"/>
    <n v="36.6"/>
    <n v="328239523"/>
    <n v="66.359349460608044"/>
    <d v="2026-10-01T00:00:00"/>
    <d v="1960-05-22T00:00:00"/>
  </r>
  <r>
    <n v="497"/>
    <x v="10"/>
    <x v="472"/>
    <x v="1"/>
    <s v="Saint Petersburg"/>
    <s v="Furniture"/>
    <x v="10"/>
    <x v="1"/>
    <x v="0"/>
    <s v="Wanek"/>
    <x v="357"/>
    <x v="170"/>
    <n v="1941"/>
    <n v="5"/>
    <n v="19"/>
    <n v="117.24"/>
    <n v="21427700000000"/>
    <n v="78.5"/>
    <n v="9.6"/>
    <n v="36.6"/>
    <n v="328239523"/>
    <n v="85.370284295310555"/>
    <d v="2026-10-01T00:00:00"/>
    <d v="1941-05-19T00:00:00"/>
  </r>
  <r>
    <n v="497"/>
    <x v="7"/>
    <x v="473"/>
    <x v="7"/>
    <s v="Visbek"/>
    <s v="Poultry genetics"/>
    <x v="7"/>
    <x v="1"/>
    <x v="0"/>
    <s v="Wesjohann"/>
    <x v="358"/>
    <x v="170"/>
    <n v="1945"/>
    <n v="6"/>
    <n v="2"/>
    <n v="112.85"/>
    <n v="3845630030824"/>
    <n v="80.900000000000006"/>
    <n v="11.5"/>
    <n v="48.8"/>
    <n v="83132799"/>
    <n v="81.331953255425702"/>
    <d v="2026-10-01T00:00:00"/>
    <d v="1945-06-02T00:00:00"/>
  </r>
  <r>
    <n v="497"/>
    <x v="0"/>
    <x v="474"/>
    <x v="15"/>
    <s v="Abu Dhabi"/>
    <s v="Retail"/>
    <x v="0"/>
    <x v="1"/>
    <x v="0"/>
    <s v="Yusuff Ali"/>
    <x v="359"/>
    <x v="170"/>
    <n v="1955"/>
    <n v="11"/>
    <n v="15"/>
    <n v="114.52"/>
    <n v="421142267938"/>
    <n v="77.8"/>
    <n v="0.1"/>
    <n v="15.9"/>
    <n v="9770529"/>
    <n v="70.87748117727584"/>
    <d v="2026-10-01T00:00:00"/>
    <d v="1955-1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6ED639-7BD1-4ABF-B951-8C5D695A7233}" name="PivotTable2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B27" firstHeaderRow="1" firstDataRow="1" firstDataCol="1"/>
  <pivotFields count="24">
    <pivotField showAll="0"/>
    <pivotField showAll="0"/>
    <pivotField showAll="0"/>
    <pivotField axis="axisRow" showAll="0" measureFilter="1" sortType="descending">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numFmtId="3" showAll="0"/>
    <pivotField showAll="0"/>
    <pivotField showAll="0"/>
    <pivotField showAll="0"/>
    <pivotField showAll="0"/>
    <pivotField numFmtId="1" showAll="0"/>
    <pivotField numFmtId="14" showAll="0"/>
    <pivotField numFmtId="14" showAll="0"/>
  </pivotFields>
  <rowFields count="1">
    <field x="3"/>
  </rowFields>
  <rowItems count="6">
    <i>
      <x v="38"/>
    </i>
    <i>
      <x v="6"/>
    </i>
    <i>
      <x v="11"/>
    </i>
    <i>
      <x v="13"/>
    </i>
    <i>
      <x v="12"/>
    </i>
    <i t="grand">
      <x/>
    </i>
  </rowItems>
  <colItems count="1">
    <i/>
  </colItems>
  <dataFields count="1">
    <dataField name="Sum of finalWorth" fld="11" baseField="0" baseItem="0" numFmtId="173"/>
  </dataFields>
  <formats count="6">
    <format dxfId="13">
      <pivotArea field="3" type="button" dataOnly="0" labelOnly="1" outline="0" axis="axisRow" fieldPosition="0"/>
    </format>
    <format dxfId="12">
      <pivotArea dataOnly="0" labelOnly="1" outline="0" axis="axisValues" fieldPosition="0"/>
    </format>
    <format dxfId="9">
      <pivotArea grandRow="1" outline="0" collapsedLevelsAreSubtotals="1" fieldPosition="0"/>
    </format>
    <format dxfId="8">
      <pivotArea dataOnly="0" labelOnly="1" grandRow="1" outline="0" fieldPosition="0"/>
    </format>
    <format dxfId="1">
      <pivotArea field="3" type="button" dataOnly="0" labelOnly="1" outline="0" axis="axisRow"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4F0509-6178-4D4A-94DA-9C2757467FB7}" name="PivotTable20"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7:F20"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dataField="1"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axis="axisRow" numFmtId="49" showAll="0">
      <items count="3">
        <item n="Inherited" x="0"/>
        <item n="Self-made" x="1"/>
        <item t="default"/>
      </items>
    </pivotField>
    <pivotField showAll="0">
      <items count="3">
        <item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numFmtId="1" showAll="0"/>
    <pivotField numFmtId="14" showAll="0"/>
    <pivotField numFmtId="14" showAll="0"/>
  </pivotFields>
  <rowFields count="1">
    <field x="7"/>
  </rowFields>
  <rowItems count="3">
    <i>
      <x/>
    </i>
    <i>
      <x v="1"/>
    </i>
    <i t="grand">
      <x/>
    </i>
  </rowItems>
  <colItems count="1">
    <i/>
  </colItems>
  <dataFields count="1">
    <dataField name="Count of personName" fld="2" subtotal="count" baseField="0" baseItem="0"/>
  </dataFields>
  <formats count="3">
    <format dxfId="6">
      <pivotArea dataOnly="0" grandRow="1" fieldPosition="0"/>
    </format>
    <format dxfId="5">
      <pivotArea field="7" type="button" dataOnly="0" labelOnly="1" outline="0" axis="axisRow" fieldPosition="0"/>
    </format>
    <format dxfId="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2CA955-4E5A-40E3-A91D-F9DF54EA8A65}" name="PivotTable1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2:B19"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axis="axisRow" showAll="0" measureFilter="1" sortType="de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3">
        <item x="1"/>
        <item x="0"/>
        <item t="default"/>
      </items>
    </pivotField>
    <pivotField showAll="0"/>
    <pivotField showAll="0"/>
    <pivotField dataField="1" showAll="0">
      <items count="172">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numFmtId="3" showAll="0"/>
    <pivotField showAll="0"/>
    <pivotField showAll="0"/>
    <pivotField showAll="0"/>
    <pivotField showAll="0"/>
    <pivotField numFmtId="1" showAll="0"/>
    <pivotField numFmtId="14" showAll="0"/>
    <pivotField numFmtId="14" showAll="0"/>
  </pivotFields>
  <rowFields count="1">
    <field x="6"/>
  </rowFields>
  <rowItems count="7">
    <i>
      <x v="16"/>
    </i>
    <i>
      <x v="4"/>
    </i>
    <i>
      <x v="5"/>
    </i>
    <i>
      <x v="6"/>
    </i>
    <i>
      <x v="2"/>
    </i>
    <i>
      <x v="10"/>
    </i>
    <i t="grand">
      <x/>
    </i>
  </rowItems>
  <colItems count="1">
    <i/>
  </colItems>
  <dataFields count="1">
    <dataField name="Sum of finalWorth" fld="11" baseField="0" baseItem="0" numFmtId="173"/>
  </dataFields>
  <formats count="6">
    <format dxfId="28">
      <pivotArea outline="0" collapsedLevelsAreSubtotals="1" fieldPosition="0"/>
    </format>
    <format dxfId="15">
      <pivotArea field="6" type="button" dataOnly="0" labelOnly="1" outline="0" axis="axisRow" fieldPosition="0"/>
    </format>
    <format dxfId="14">
      <pivotArea dataOnly="0" labelOnly="1" outline="0" axis="axisValues" fieldPosition="0"/>
    </format>
    <format dxfId="10">
      <pivotArea dataOnly="0" grandRow="1" axis="axisRow" fieldPosition="0"/>
    </format>
    <format dxfId="3">
      <pivotArea field="6" type="button" dataOnly="0" labelOnly="1" outline="0" axis="axisRow" fieldPosition="0"/>
    </format>
    <format dxfId="2">
      <pivotArea dataOnly="0" labelOnly="1" outline="0" axis="axisValues" fieldPosition="0"/>
    </format>
  </formats>
  <chartFormats count="14">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6" count="1" selected="0">
            <x v="16"/>
          </reference>
        </references>
      </pivotArea>
    </chartFormat>
    <chartFormat chart="11" format="2">
      <pivotArea type="data" outline="0" fieldPosition="0">
        <references count="2">
          <reference field="4294967294" count="1" selected="0">
            <x v="0"/>
          </reference>
          <reference field="6" count="1" selected="0">
            <x v="10"/>
          </reference>
        </references>
      </pivotArea>
    </chartFormat>
    <chartFormat chart="11" format="2">
      <pivotArea type="data" outline="0" fieldPosition="0">
        <references count="2">
          <reference field="4294967294" count="1" selected="0">
            <x v="0"/>
          </reference>
          <reference field="6" count="1" selected="0">
            <x v="4"/>
          </reference>
        </references>
      </pivotArea>
    </chartFormat>
    <chartFormat chart="11" format="3">
      <pivotArea type="data" outline="0" fieldPosition="0">
        <references count="2">
          <reference field="4294967294" count="1" selected="0">
            <x v="0"/>
          </reference>
          <reference field="6" count="1" selected="0">
            <x v="5"/>
          </reference>
        </references>
      </pivotArea>
    </chartFormat>
    <chartFormat chart="11" format="4">
      <pivotArea type="data" outline="0" fieldPosition="0">
        <references count="2">
          <reference field="4294967294" count="1" selected="0">
            <x v="0"/>
          </reference>
          <reference field="6" count="1" selected="0">
            <x v="6"/>
          </reference>
        </references>
      </pivotArea>
    </chartFormat>
    <chartFormat chart="11" format="5">
      <pivotArea type="data" outline="0" fieldPosition="0">
        <references count="2">
          <reference field="4294967294" count="1" selected="0">
            <x v="0"/>
          </reference>
          <reference field="6" count="1" selected="0">
            <x v="2"/>
          </reference>
        </references>
      </pivotArea>
    </chartFormat>
    <chartFormat chart="19" format="13" series="1">
      <pivotArea type="data" outline="0" fieldPosition="0">
        <references count="1">
          <reference field="4294967294" count="1" selected="0">
            <x v="0"/>
          </reference>
        </references>
      </pivotArea>
    </chartFormat>
    <chartFormat chart="19" format="14">
      <pivotArea type="data" outline="0" fieldPosition="0">
        <references count="2">
          <reference field="4294967294" count="1" selected="0">
            <x v="0"/>
          </reference>
          <reference field="6" count="1" selected="0">
            <x v="16"/>
          </reference>
        </references>
      </pivotArea>
    </chartFormat>
    <chartFormat chart="19" format="15">
      <pivotArea type="data" outline="0" fieldPosition="0">
        <references count="2">
          <reference field="4294967294" count="1" selected="0">
            <x v="0"/>
          </reference>
          <reference field="6" count="1" selected="0">
            <x v="4"/>
          </reference>
        </references>
      </pivotArea>
    </chartFormat>
    <chartFormat chart="19" format="16">
      <pivotArea type="data" outline="0" fieldPosition="0">
        <references count="2">
          <reference field="4294967294" count="1" selected="0">
            <x v="0"/>
          </reference>
          <reference field="6" count="1" selected="0">
            <x v="5"/>
          </reference>
        </references>
      </pivotArea>
    </chartFormat>
    <chartFormat chart="19" format="17">
      <pivotArea type="data" outline="0" fieldPosition="0">
        <references count="2">
          <reference field="4294967294" count="1" selected="0">
            <x v="0"/>
          </reference>
          <reference field="6" count="1" selected="0">
            <x v="6"/>
          </reference>
        </references>
      </pivotArea>
    </chartFormat>
    <chartFormat chart="19" format="18">
      <pivotArea type="data" outline="0" fieldPosition="0">
        <references count="2">
          <reference field="4294967294" count="1" selected="0">
            <x v="0"/>
          </reference>
          <reference field="6" count="1" selected="0">
            <x v="2"/>
          </reference>
        </references>
      </pivotArea>
    </chartFormat>
    <chartFormat chart="19" format="19">
      <pivotArea type="data" outline="0" fieldPosition="0">
        <references count="2">
          <reference field="4294967294" count="1" selected="0">
            <x v="0"/>
          </reference>
          <reference field="6" count="1" selected="0">
            <x v="10"/>
          </reference>
        </references>
      </pivotArea>
    </chartFormat>
  </chartFormats>
  <pivotTableStyleInfo name="PivotStyleLight21" showRowHeaders="1" showColHeaders="1" showRowStripes="0" showColStripes="0" showLastColumn="1"/>
  <filters count="1">
    <filter fld="6"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C2DBC4-74E7-4BE2-9BEC-D6B7A4EC0C24}" name="PivotTable10"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B10"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dataField="1"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showAll="0">
      <items count="3">
        <item x="0"/>
        <item x="1"/>
        <item t="default"/>
      </items>
    </pivotField>
    <pivotField axis="axisRow" showAll="0">
      <items count="3">
        <item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numFmtId="1" showAll="0"/>
    <pivotField numFmtId="14" showAll="0"/>
    <pivotField numFmtId="14" showAll="0"/>
  </pivotFields>
  <rowFields count="1">
    <field x="8"/>
  </rowFields>
  <rowItems count="3">
    <i>
      <x/>
    </i>
    <i>
      <x v="1"/>
    </i>
    <i t="grand">
      <x/>
    </i>
  </rowItems>
  <colItems count="1">
    <i/>
  </colItems>
  <dataFields count="1">
    <dataField name="Count of personName" fld="2" subtotal="count" baseField="0" baseItem="0"/>
  </dataFields>
  <formats count="5">
    <format dxfId="22">
      <pivotArea field="8" type="button" dataOnly="0" labelOnly="1" outline="0" axis="axisRow" fieldPosition="0"/>
    </format>
    <format dxfId="21">
      <pivotArea dataOnly="0" labelOnly="1" outline="0" axis="axisValues" fieldPosition="0"/>
    </format>
    <format dxfId="20">
      <pivotArea grandRow="1" outline="0" collapsedLevelsAreSubtotals="1" fieldPosition="0"/>
    </format>
    <format dxfId="19">
      <pivotArea dataOnly="0" labelOnly="1" grandRow="1" outline="0" fieldPosition="0"/>
    </format>
    <format dxfId="11">
      <pivotArea field="8" dataOnly="0" grandRow="1" axis="axisRow" fieldPosition="0">
        <references count="1">
          <reference field="8" count="1">
            <x v="1"/>
          </reference>
        </references>
      </pivotArea>
    </format>
  </formats>
  <chartFormats count="6">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8" count="1" selected="0">
            <x v="1"/>
          </reference>
        </references>
      </pivotArea>
    </chartFormat>
    <chartFormat chart="9" format="4">
      <pivotArea type="data" outline="0" fieldPosition="0">
        <references count="2">
          <reference field="4294967294" count="1" selected="0">
            <x v="0"/>
          </reference>
          <reference field="8"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8" count="1" selected="0">
            <x v="0"/>
          </reference>
        </references>
      </pivotArea>
    </chartFormat>
    <chartFormat chart="13" format="10">
      <pivotArea type="data" outline="0" fieldPosition="0">
        <references count="2">
          <reference field="4294967294" count="1" selected="0">
            <x v="0"/>
          </reference>
          <reference field="8"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4F2173-02D2-400C-B35F-47EEE6996F1F}" name="PivotTable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4:F15"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items count="361">
        <item x="106"/>
        <item x="153"/>
        <item x="196"/>
        <item x="62"/>
        <item x="282"/>
        <item x="36"/>
        <item x="171"/>
        <item x="293"/>
        <item x="69"/>
        <item x="19"/>
        <item x="102"/>
        <item x="11"/>
        <item x="236"/>
        <item x="120"/>
        <item x="152"/>
        <item x="71"/>
        <item x="50"/>
        <item x="190"/>
        <item x="291"/>
        <item x="124"/>
        <item x="168"/>
        <item x="315"/>
        <item x="331"/>
        <item x="226"/>
        <item x="251"/>
        <item x="144"/>
        <item x="169"/>
        <item x="104"/>
        <item x="157"/>
        <item x="234"/>
        <item x="0"/>
        <item x="5"/>
        <item x="193"/>
        <item x="166"/>
        <item x="288"/>
        <item x="285"/>
        <item x="81"/>
        <item x="7"/>
        <item x="187"/>
        <item x="181"/>
        <item x="134"/>
        <item x="97"/>
        <item x="15"/>
        <item x="96"/>
        <item x="189"/>
        <item x="100"/>
        <item x="246"/>
        <item x="272"/>
        <item x="140"/>
        <item x="76"/>
        <item x="40"/>
        <item x="59"/>
        <item x="286"/>
        <item x="79"/>
        <item x="263"/>
        <item x="20"/>
        <item x="265"/>
        <item x="295"/>
        <item x="95"/>
        <item x="105"/>
        <item x="24"/>
        <item x="91"/>
        <item x="321"/>
        <item x="249"/>
        <item x="239"/>
        <item x="83"/>
        <item x="352"/>
        <item x="178"/>
        <item x="138"/>
        <item x="267"/>
        <item x="257"/>
        <item x="351"/>
        <item x="1"/>
        <item x="61"/>
        <item x="316"/>
        <item x="237"/>
        <item x="73"/>
        <item x="358"/>
        <item x="164"/>
        <item x="173"/>
        <item x="25"/>
        <item x="10"/>
        <item x="311"/>
        <item x="245"/>
        <item x="320"/>
        <item x="154"/>
        <item x="301"/>
        <item x="356"/>
        <item x="21"/>
        <item x="325"/>
        <item x="78"/>
        <item x="139"/>
        <item x="108"/>
        <item x="37"/>
        <item x="195"/>
        <item x="46"/>
        <item x="38"/>
        <item x="44"/>
        <item x="125"/>
        <item x="27"/>
        <item x="309"/>
        <item x="269"/>
        <item x="184"/>
        <item x="240"/>
        <item x="300"/>
        <item x="98"/>
        <item x="345"/>
        <item x="121"/>
        <item x="77"/>
        <item x="110"/>
        <item x="223"/>
        <item x="186"/>
        <item x="247"/>
        <item x="220"/>
        <item x="30"/>
        <item x="225"/>
        <item x="199"/>
        <item x="350"/>
        <item x="103"/>
        <item x="250"/>
        <item x="57"/>
        <item x="235"/>
        <item x="122"/>
        <item x="170"/>
        <item x="221"/>
        <item x="255"/>
        <item x="55"/>
        <item x="28"/>
        <item x="148"/>
        <item x="58"/>
        <item x="314"/>
        <item x="308"/>
        <item x="211"/>
        <item x="217"/>
        <item x="2"/>
        <item x="136"/>
        <item x="66"/>
        <item x="107"/>
        <item x="182"/>
        <item x="99"/>
        <item x="198"/>
        <item x="231"/>
        <item x="329"/>
        <item x="296"/>
        <item x="17"/>
        <item x="260"/>
        <item x="224"/>
        <item x="126"/>
        <item x="29"/>
        <item x="281"/>
        <item x="90"/>
        <item x="174"/>
        <item x="317"/>
        <item x="256"/>
        <item x="129"/>
        <item x="16"/>
        <item x="328"/>
        <item x="89"/>
        <item x="204"/>
        <item x="326"/>
        <item x="336"/>
        <item x="32"/>
        <item x="175"/>
        <item x="273"/>
        <item x="26"/>
        <item x="313"/>
        <item x="101"/>
        <item x="197"/>
        <item x="48"/>
        <item x="238"/>
        <item x="270"/>
        <item x="80"/>
        <item x="3"/>
        <item x="118"/>
        <item x="200"/>
        <item x="35"/>
        <item x="142"/>
        <item x="344"/>
        <item x="183"/>
        <item x="67"/>
        <item x="63"/>
        <item x="312"/>
        <item x="216"/>
        <item x="158"/>
        <item x="172"/>
        <item x="334"/>
        <item x="294"/>
        <item x="64"/>
        <item x="354"/>
        <item x="359"/>
        <item x="52"/>
        <item x="278"/>
        <item x="342"/>
        <item x="188"/>
        <item x="248"/>
        <item x="131"/>
        <item x="339"/>
        <item x="299"/>
        <item x="218"/>
        <item x="203"/>
        <item x="159"/>
        <item x="14"/>
        <item x="60"/>
        <item x="276"/>
        <item x="343"/>
        <item x="347"/>
        <item x="323"/>
        <item x="290"/>
        <item x="151"/>
        <item x="6"/>
        <item x="304"/>
        <item x="330"/>
        <item x="135"/>
        <item x="113"/>
        <item x="266"/>
        <item x="31"/>
        <item x="335"/>
        <item x="346"/>
        <item x="8"/>
        <item x="302"/>
        <item x="289"/>
        <item x="210"/>
        <item x="233"/>
        <item x="205"/>
        <item x="307"/>
        <item x="192"/>
        <item x="147"/>
        <item x="318"/>
        <item x="208"/>
        <item x="160"/>
        <item x="206"/>
        <item x="341"/>
        <item x="337"/>
        <item x="228"/>
        <item x="258"/>
        <item x="119"/>
        <item x="22"/>
        <item x="128"/>
        <item x="259"/>
        <item x="155"/>
        <item x="332"/>
        <item x="179"/>
        <item x="277"/>
        <item x="353"/>
        <item x="242"/>
        <item x="53"/>
        <item x="93"/>
        <item x="292"/>
        <item x="39"/>
        <item x="284"/>
        <item x="252"/>
        <item x="212"/>
        <item x="271"/>
        <item x="185"/>
        <item x="72"/>
        <item x="322"/>
        <item x="41"/>
        <item x="87"/>
        <item x="348"/>
        <item x="116"/>
        <item x="222"/>
        <item x="130"/>
        <item x="177"/>
        <item x="156"/>
        <item x="319"/>
        <item x="18"/>
        <item x="92"/>
        <item x="207"/>
        <item x="33"/>
        <item x="213"/>
        <item x="149"/>
        <item x="253"/>
        <item x="167"/>
        <item x="357"/>
        <item x="262"/>
        <item x="84"/>
        <item x="261"/>
        <item x="114"/>
        <item x="82"/>
        <item x="141"/>
        <item x="12"/>
        <item x="338"/>
        <item x="117"/>
        <item x="13"/>
        <item x="254"/>
        <item x="215"/>
        <item x="283"/>
        <item x="227"/>
        <item x="94"/>
        <item x="47"/>
        <item x="209"/>
        <item x="214"/>
        <item x="194"/>
        <item x="264"/>
        <item x="133"/>
        <item x="274"/>
        <item x="230"/>
        <item x="112"/>
        <item x="298"/>
        <item x="51"/>
        <item x="42"/>
        <item x="9"/>
        <item x="232"/>
        <item x="355"/>
        <item x="132"/>
        <item x="310"/>
        <item x="43"/>
        <item x="34"/>
        <item x="241"/>
        <item x="68"/>
        <item x="243"/>
        <item x="150"/>
        <item x="176"/>
        <item x="327"/>
        <item x="280"/>
        <item x="86"/>
        <item x="201"/>
        <item x="49"/>
        <item x="275"/>
        <item x="202"/>
        <item x="349"/>
        <item x="305"/>
        <item x="287"/>
        <item x="111"/>
        <item x="70"/>
        <item x="161"/>
        <item x="123"/>
        <item x="85"/>
        <item x="162"/>
        <item x="324"/>
        <item x="137"/>
        <item x="163"/>
        <item x="146"/>
        <item x="54"/>
        <item x="4"/>
        <item x="65"/>
        <item x="333"/>
        <item x="244"/>
        <item x="74"/>
        <item x="45"/>
        <item x="306"/>
        <item x="279"/>
        <item x="56"/>
        <item x="109"/>
        <item x="165"/>
        <item x="88"/>
        <item x="303"/>
        <item x="143"/>
        <item x="340"/>
        <item x="115"/>
        <item x="23"/>
        <item x="75"/>
        <item x="229"/>
        <item x="219"/>
        <item x="145"/>
        <item x="268"/>
        <item x="297"/>
        <item x="191"/>
        <item x="180"/>
        <item x="127"/>
        <item t="default"/>
      </items>
    </pivotField>
    <pivotField dataField="1" showAll="0"/>
    <pivotField showAll="0"/>
    <pivotField showAll="0"/>
    <pivotField showAll="0"/>
    <pivotField showAll="0"/>
    <pivotField numFmtId="3" showAll="0"/>
    <pivotField showAll="0"/>
    <pivotField showAll="0"/>
    <pivotField showAll="0"/>
    <pivotField showAll="0"/>
    <pivotField numFmtId="1" showAll="0"/>
    <pivotField numFmtId="14" showAll="0"/>
    <pivotField numFmtId="14" showAll="0"/>
  </pivotFields>
  <rowFields count="1">
    <field x="2"/>
  </rowFields>
  <rowItems count="11">
    <i>
      <x v="38"/>
    </i>
    <i>
      <x v="106"/>
    </i>
    <i>
      <x v="178"/>
    </i>
    <i>
      <x v="228"/>
    </i>
    <i>
      <x v="451"/>
    </i>
    <i>
      <x v="40"/>
    </i>
    <i>
      <x v="284"/>
    </i>
    <i>
      <x v="51"/>
    </i>
    <i>
      <x v="304"/>
    </i>
    <i>
      <x v="400"/>
    </i>
    <i t="grand">
      <x/>
    </i>
  </rowItems>
  <colItems count="1">
    <i/>
  </colItems>
  <dataFields count="1">
    <dataField name="Sum of finalWorth" fld="11" baseField="0" baseItem="0" numFmtId="173"/>
  </dataFields>
  <formats count="4">
    <format dxfId="18">
      <pivotArea field="2" type="button" dataOnly="0" labelOnly="1" outline="0" axis="axisRow" fieldPosition="0"/>
    </format>
    <format dxfId="17">
      <pivotArea dataOnly="0" labelOnly="1" outline="0" axis="axisValues" fieldPosition="0"/>
    </format>
    <format dxfId="16">
      <pivotArea dataOnly="0" grandRow="1" axis="axisRow" fieldPosition="0"/>
    </format>
    <format dxfId="7">
      <pivotArea dataOnly="0" grandRow="1" fieldPosition="0"/>
    </format>
  </format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AC930B-CF27-4405-B715-1BA8529D5F27}" name="PivotTable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5" firstHeaderRow="0" firstDataRow="1" firstDataCol="0"/>
  <pivotFields count="24">
    <pivotField showAll="0"/>
    <pivotField showAll="0">
      <items count="19">
        <item x="1"/>
        <item x="16"/>
        <item x="6"/>
        <item x="12"/>
        <item x="0"/>
        <item x="3"/>
        <item x="7"/>
        <item x="9"/>
        <item x="13"/>
        <item x="8"/>
        <item x="10"/>
        <item x="4"/>
        <item x="11"/>
        <item x="15"/>
        <item x="14"/>
        <item x="17"/>
        <item x="2"/>
        <item x="5"/>
        <item t="default"/>
      </items>
    </pivotField>
    <pivotField dataField="1"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items count="361">
        <item x="106"/>
        <item x="153"/>
        <item x="196"/>
        <item x="62"/>
        <item x="282"/>
        <item x="36"/>
        <item x="171"/>
        <item x="293"/>
        <item x="69"/>
        <item x="19"/>
        <item x="102"/>
        <item x="11"/>
        <item x="236"/>
        <item x="120"/>
        <item x="152"/>
        <item x="71"/>
        <item x="50"/>
        <item x="190"/>
        <item x="291"/>
        <item x="124"/>
        <item x="168"/>
        <item x="315"/>
        <item x="331"/>
        <item x="226"/>
        <item x="251"/>
        <item x="144"/>
        <item x="169"/>
        <item x="104"/>
        <item x="157"/>
        <item x="234"/>
        <item x="0"/>
        <item x="5"/>
        <item x="193"/>
        <item x="166"/>
        <item x="288"/>
        <item x="285"/>
        <item x="81"/>
        <item x="7"/>
        <item x="187"/>
        <item x="181"/>
        <item x="134"/>
        <item x="97"/>
        <item x="15"/>
        <item x="96"/>
        <item x="189"/>
        <item x="100"/>
        <item x="246"/>
        <item x="272"/>
        <item x="140"/>
        <item x="76"/>
        <item x="40"/>
        <item x="59"/>
        <item x="286"/>
        <item x="79"/>
        <item x="263"/>
        <item x="20"/>
        <item x="265"/>
        <item x="295"/>
        <item x="95"/>
        <item x="105"/>
        <item x="24"/>
        <item x="91"/>
        <item x="321"/>
        <item x="249"/>
        <item x="239"/>
        <item x="83"/>
        <item x="352"/>
        <item x="178"/>
        <item x="138"/>
        <item x="267"/>
        <item x="257"/>
        <item x="351"/>
        <item x="1"/>
        <item x="61"/>
        <item x="316"/>
        <item x="237"/>
        <item x="73"/>
        <item x="358"/>
        <item x="164"/>
        <item x="173"/>
        <item x="25"/>
        <item x="10"/>
        <item x="311"/>
        <item x="245"/>
        <item x="320"/>
        <item x="154"/>
        <item x="301"/>
        <item x="356"/>
        <item x="21"/>
        <item x="325"/>
        <item x="78"/>
        <item x="139"/>
        <item x="108"/>
        <item x="37"/>
        <item x="195"/>
        <item x="46"/>
        <item x="38"/>
        <item x="44"/>
        <item x="125"/>
        <item x="27"/>
        <item x="309"/>
        <item x="269"/>
        <item x="184"/>
        <item x="240"/>
        <item x="300"/>
        <item x="98"/>
        <item x="345"/>
        <item x="121"/>
        <item x="77"/>
        <item x="110"/>
        <item x="223"/>
        <item x="186"/>
        <item x="247"/>
        <item x="220"/>
        <item x="30"/>
        <item x="225"/>
        <item x="199"/>
        <item x="350"/>
        <item x="103"/>
        <item x="250"/>
        <item x="57"/>
        <item x="235"/>
        <item x="122"/>
        <item x="170"/>
        <item x="221"/>
        <item x="255"/>
        <item x="55"/>
        <item x="28"/>
        <item x="148"/>
        <item x="58"/>
        <item x="314"/>
        <item x="308"/>
        <item x="211"/>
        <item x="217"/>
        <item x="2"/>
        <item x="136"/>
        <item x="66"/>
        <item x="107"/>
        <item x="182"/>
        <item x="99"/>
        <item x="198"/>
        <item x="231"/>
        <item x="329"/>
        <item x="296"/>
        <item x="17"/>
        <item x="260"/>
        <item x="224"/>
        <item x="126"/>
        <item x="29"/>
        <item x="281"/>
        <item x="90"/>
        <item x="174"/>
        <item x="317"/>
        <item x="256"/>
        <item x="129"/>
        <item x="16"/>
        <item x="328"/>
        <item x="89"/>
        <item x="204"/>
        <item x="326"/>
        <item x="336"/>
        <item x="32"/>
        <item x="175"/>
        <item x="273"/>
        <item x="26"/>
        <item x="313"/>
        <item x="101"/>
        <item x="197"/>
        <item x="48"/>
        <item x="238"/>
        <item x="270"/>
        <item x="80"/>
        <item x="3"/>
        <item x="118"/>
        <item x="200"/>
        <item x="35"/>
        <item x="142"/>
        <item x="344"/>
        <item x="183"/>
        <item x="67"/>
        <item x="63"/>
        <item x="312"/>
        <item x="216"/>
        <item x="158"/>
        <item x="172"/>
        <item x="334"/>
        <item x="294"/>
        <item x="64"/>
        <item x="354"/>
        <item x="359"/>
        <item x="52"/>
        <item x="278"/>
        <item x="342"/>
        <item x="188"/>
        <item x="248"/>
        <item x="131"/>
        <item x="339"/>
        <item x="299"/>
        <item x="218"/>
        <item x="203"/>
        <item x="159"/>
        <item x="14"/>
        <item x="60"/>
        <item x="276"/>
        <item x="343"/>
        <item x="347"/>
        <item x="323"/>
        <item x="290"/>
        <item x="151"/>
        <item x="6"/>
        <item x="304"/>
        <item x="330"/>
        <item x="135"/>
        <item x="113"/>
        <item x="266"/>
        <item x="31"/>
        <item x="335"/>
        <item x="346"/>
        <item x="8"/>
        <item x="302"/>
        <item x="289"/>
        <item x="210"/>
        <item x="233"/>
        <item x="205"/>
        <item x="307"/>
        <item x="192"/>
        <item x="147"/>
        <item x="318"/>
        <item x="208"/>
        <item x="160"/>
        <item x="206"/>
        <item x="341"/>
        <item x="337"/>
        <item x="228"/>
        <item x="258"/>
        <item x="119"/>
        <item x="22"/>
        <item x="128"/>
        <item x="259"/>
        <item x="155"/>
        <item x="332"/>
        <item x="179"/>
        <item x="277"/>
        <item x="353"/>
        <item x="242"/>
        <item x="53"/>
        <item x="93"/>
        <item x="292"/>
        <item x="39"/>
        <item x="284"/>
        <item x="252"/>
        <item x="212"/>
        <item x="271"/>
        <item x="185"/>
        <item x="72"/>
        <item x="322"/>
        <item x="41"/>
        <item x="87"/>
        <item x="348"/>
        <item x="116"/>
        <item x="222"/>
        <item x="130"/>
        <item x="177"/>
        <item x="156"/>
        <item x="319"/>
        <item x="18"/>
        <item x="92"/>
        <item x="207"/>
        <item x="33"/>
        <item x="213"/>
        <item x="149"/>
        <item x="253"/>
        <item x="167"/>
        <item x="357"/>
        <item x="262"/>
        <item x="84"/>
        <item x="261"/>
        <item x="114"/>
        <item x="82"/>
        <item x="141"/>
        <item x="12"/>
        <item x="338"/>
        <item x="117"/>
        <item x="13"/>
        <item x="254"/>
        <item x="215"/>
        <item x="283"/>
        <item x="227"/>
        <item x="94"/>
        <item x="47"/>
        <item x="209"/>
        <item x="214"/>
        <item x="194"/>
        <item x="264"/>
        <item x="133"/>
        <item x="274"/>
        <item x="230"/>
        <item x="112"/>
        <item x="298"/>
        <item x="51"/>
        <item x="42"/>
        <item x="9"/>
        <item x="232"/>
        <item x="355"/>
        <item x="132"/>
        <item x="310"/>
        <item x="43"/>
        <item x="34"/>
        <item x="241"/>
        <item x="68"/>
        <item x="243"/>
        <item x="150"/>
        <item x="176"/>
        <item x="327"/>
        <item x="280"/>
        <item x="86"/>
        <item x="201"/>
        <item x="49"/>
        <item x="275"/>
        <item x="202"/>
        <item x="349"/>
        <item x="305"/>
        <item x="287"/>
        <item x="111"/>
        <item x="70"/>
        <item x="161"/>
        <item x="123"/>
        <item x="85"/>
        <item x="162"/>
        <item x="324"/>
        <item x="137"/>
        <item x="163"/>
        <item x="146"/>
        <item x="54"/>
        <item x="4"/>
        <item x="65"/>
        <item x="333"/>
        <item x="244"/>
        <item x="74"/>
        <item x="45"/>
        <item x="306"/>
        <item x="279"/>
        <item x="56"/>
        <item x="109"/>
        <item x="165"/>
        <item x="88"/>
        <item x="303"/>
        <item x="143"/>
        <item x="340"/>
        <item x="115"/>
        <item x="23"/>
        <item x="75"/>
        <item x="229"/>
        <item x="219"/>
        <item x="145"/>
        <item x="268"/>
        <item x="297"/>
        <item x="191"/>
        <item x="180"/>
        <item x="127"/>
        <item t="default"/>
      </items>
    </pivotField>
    <pivotField dataField="1" showAll="0"/>
    <pivotField showAll="0"/>
    <pivotField showAll="0"/>
    <pivotField showAll="0"/>
    <pivotField showAll="0"/>
    <pivotField numFmtId="3" showAll="0"/>
    <pivotField showAll="0"/>
    <pivotField showAll="0"/>
    <pivotField showAll="0"/>
    <pivotField showAll="0"/>
    <pivotField numFmtId="1" showAll="0"/>
    <pivotField numFmtId="14" showAll="0"/>
    <pivotField numFmtId="14" showAll="0"/>
  </pivotFields>
  <rowItems count="1">
    <i/>
  </rowItems>
  <colFields count="1">
    <field x="-2"/>
  </colFields>
  <colItems count="3">
    <i>
      <x/>
    </i>
    <i i="1">
      <x v="1"/>
    </i>
    <i i="2">
      <x v="2"/>
    </i>
  </colItems>
  <dataFields count="3">
    <dataField name="Count of personName" fld="2" subtotal="count" baseField="0" baseItem="0"/>
    <dataField name="Sum of finalWorth" fld="11" baseField="0" baseItem="0" numFmtId="173"/>
    <dataField name="Average of finalWorth2" fld="11" subtotal="average" baseField="0" baseItem="0" numFmtId="173"/>
  </dataFields>
  <formats count="2">
    <format dxfId="24">
      <pivotArea dataOnly="0" labelOnly="1" outline="0" fieldPosition="0">
        <references count="1">
          <reference field="4294967294" count="3">
            <x v="0"/>
            <x v="1"/>
            <x v="2"/>
          </reference>
        </references>
      </pivotArea>
    </format>
    <format dxfId="23">
      <pivotArea dataOnly="0" labelOnly="1" outline="0" fieldPosition="0">
        <references count="1">
          <reference field="4294967294" count="3">
            <x v="0"/>
            <x v="1"/>
            <x v="2"/>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7DE23C-3188-4C56-AEF2-79314E9C2BAD}" sourceName="category">
  <pivotTables>
    <pivotTable tabId="9" name="PivotTable7"/>
    <pivotTable tabId="9" name="PivotTable6"/>
    <pivotTable tabId="9" name="PivotTable10"/>
    <pivotTable tabId="9" name="PivotTable16"/>
    <pivotTable tabId="9" name="PivotTable20"/>
  </pivotTables>
  <data>
    <tabular pivotCacheId="594896939">
      <items count="18">
        <i x="1" s="1"/>
        <i x="16" s="1"/>
        <i x="6" s="1"/>
        <i x="12" s="1"/>
        <i x="0" s="1"/>
        <i x="3" s="1"/>
        <i x="7" s="1"/>
        <i x="9" s="1"/>
        <i x="13" s="1"/>
        <i x="8" s="1"/>
        <i x="10" s="1"/>
        <i x="4" s="1"/>
        <i x="11" s="1"/>
        <i x="15" s="1"/>
        <i x="14" s="1"/>
        <i x="17"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593550D-86F0-47B9-AD8B-FCE63A21ED40}" sourceName="country">
  <pivotTables>
    <pivotTable tabId="9" name="PivotTable7"/>
    <pivotTable tabId="9" name="PivotTable6"/>
    <pivotTable tabId="9" name="PivotTable10"/>
    <pivotTable tabId="9" name="PivotTable16"/>
    <pivotTable tabId="9" name="PivotTable20"/>
  </pivotTables>
  <data>
    <tabular pivotCacheId="594896939" sortOrder="descending">
      <items count="39">
        <i x="1" s="1"/>
        <i x="12" s="1"/>
        <i x="15" s="1"/>
        <i x="37" s="1"/>
        <i x="38" s="1"/>
        <i x="20" s="1"/>
        <i x="8" s="1"/>
        <i x="19" s="1"/>
        <i x="4" s="1"/>
        <i x="28" s="1"/>
        <i x="25" s="1"/>
        <i x="21" s="1"/>
        <i x="16" s="1"/>
        <i x="36" s="1"/>
        <i x="30" s="1"/>
        <i x="31" s="1"/>
        <i x="22" s="1"/>
        <i x="29" s="1"/>
        <i x="35" s="1"/>
        <i x="2" s="1"/>
        <i x="27" s="1"/>
        <i x="11" s="1"/>
        <i x="24" s="1"/>
        <i x="23" s="1"/>
        <i x="14" s="1"/>
        <i x="3" s="1"/>
        <i x="7" s="1"/>
        <i x="0" s="1"/>
        <i x="32" s="1"/>
        <i x="33" s="1"/>
        <i x="18" s="1"/>
        <i x="34" s="1"/>
        <i x="5" s="1"/>
        <i x="17" s="1"/>
        <i x="6" s="1"/>
        <i x="26" s="1"/>
        <i x="9" s="1"/>
        <i x="10"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F278EB21-CE40-44BF-8770-1F895A0BDC2B}" sourceName="selfMade">
  <pivotTables>
    <pivotTable tabId="9" name="PivotTable7"/>
    <pivotTable tabId="9" name="PivotTable6"/>
    <pivotTable tabId="9" name="PivotTable10"/>
    <pivotTable tabId="9" name="PivotTable16"/>
    <pivotTable tabId="9" name="PivotTable20"/>
  </pivotTables>
  <data>
    <tabular pivotCacheId="59489693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C03B161-D9C4-40F0-832F-C89EFA5EE53A}" sourceName="gender">
  <pivotTables>
    <pivotTable tabId="9" name="PivotTable7"/>
    <pivotTable tabId="9" name="PivotTable6"/>
    <pivotTable tabId="9" name="PivotTable10"/>
    <pivotTable tabId="9" name="PivotTable16"/>
    <pivotTable tabId="9" name="PivotTable20"/>
  </pivotTables>
  <data>
    <tabular pivotCacheId="59489693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64DBB98-B3A4-4597-9A0C-AD55858F6166}" cache="Slicer_category" caption="category" style="SlicerStyleDark6" rowHeight="260350"/>
  <slicer name="country 1" xr10:uid="{F92F3CB8-1529-4C93-BE23-0243BE42B3E9}" cache="Slicer_country" caption="country" style="SlicerStyleDark6" rowHeight="260350"/>
  <slicer name="selfMade 1" xr10:uid="{AC8AD198-61DF-481E-A844-CD48FF1BC248}" cache="Slicer_selfMade" caption="selfMade" style="SlicerStyleDark6" rowHeight="260350"/>
  <slicer name="gender 1" xr10:uid="{410E76C2-F084-4777-B304-9D4C52EF9D3C}" cache="Slicer_gender" caption="gender" style="SlicerStyleDark6"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8BE632-463D-4C4B-A5FA-451B66F90ECB}" name="Table2" displayName="Table2" ref="A1:X476" totalsRowShown="0" headerRowDxfId="32">
  <autoFilter ref="A1:X476" xr:uid="{038BE632-463D-4C4B-A5FA-451B66F90ECB}"/>
  <sortState xmlns:xlrd2="http://schemas.microsoft.com/office/spreadsheetml/2017/richdata2" ref="A2:X476">
    <sortCondition descending="1" ref="L2:L476"/>
  </sortState>
  <tableColumns count="24">
    <tableColumn id="1" xr3:uid="{D627E5C4-11D7-439A-A5D2-EB4EA60FEB4C}" name="Rank"/>
    <tableColumn id="2" xr3:uid="{4F44BB4A-671D-44DE-B062-DF80B561C898}" name="Category"/>
    <tableColumn id="3" xr3:uid="{E1D2AF90-7E06-41CD-9A03-EB46705B8CE7}" name="Person Name"/>
    <tableColumn id="4" xr3:uid="{617ECBDE-AD1E-4015-B7AD-2204418A7330}" name="Country"/>
    <tableColumn id="5" xr3:uid="{53639B47-5B1C-4AEB-98A8-005D54BFD62E}" name="City"/>
    <tableColumn id="6" xr3:uid="{6E81375E-2BCB-4827-A863-4A1AB2C278D5}" name="Source"/>
    <tableColumn id="7" xr3:uid="{8B1F3C86-B4C1-43B7-8E01-96165C5FA8D7}" name="Industries"/>
    <tableColumn id="8" xr3:uid="{942FC82A-E574-4BB9-85EC-B6A6E164ABF9}" name="Self-made"/>
    <tableColumn id="9" xr3:uid="{273A02CD-E90D-4639-A35F-35981B07C2AA}" name="Gender"/>
    <tableColumn id="10" xr3:uid="{1526C6D9-D05F-4F66-A46F-E395B5FBD996}" name="Age" dataDxfId="27">
      <calculatedColumnFormula>YEARFRAC(W2,X2,1)</calculatedColumnFormula>
    </tableColumn>
    <tableColumn id="11" xr3:uid="{D62E31DF-24E8-4F97-A198-8A7214E732F3}" name="firstName"/>
    <tableColumn id="12" xr3:uid="{7D44990B-3A97-4E54-A706-4EE822672128}" name="Final Worth" dataDxfId="26"/>
    <tableColumn id="17" xr3:uid="{E855B447-2092-4AC5-92E7-357A92932451}" name="Gdp_country" dataDxfId="25"/>
    <tableColumn id="13" xr3:uid="{05C24F06-06BB-43CE-A560-0AC3D1A2D4F6}" name="birthYear"/>
    <tableColumn id="14" xr3:uid="{EA9B77C5-E781-4EA8-8110-BF6555A22D2E}" name="birthMonth"/>
    <tableColumn id="15" xr3:uid="{471F3135-8C13-4500-A362-658B0984336B}" name="birthDay"/>
    <tableColumn id="16" xr3:uid="{19E84AE0-715B-480A-8A0D-7FD460FB02BB}" name="cpi_country"/>
    <tableColumn id="18" xr3:uid="{0D5A15A2-AD83-4C7E-857A-10467ED1770A}" name="life_expectancy_country"/>
    <tableColumn id="19" xr3:uid="{9CF2AA56-7DC6-497D-A99E-446B500CFC27}" name="tax_revenue_country_country"/>
    <tableColumn id="20" xr3:uid="{BF8CFD87-B419-46D1-8138-68FD36587797}" name="total_tax_rate_country"/>
    <tableColumn id="21" xr3:uid="{1FFD767E-F509-4948-A707-E644CC99D3F3}" name="population_country"/>
    <tableColumn id="22" xr3:uid="{416ACC86-990A-4446-8E6D-6D61007F3409}" name="Column1" dataDxfId="35"/>
    <tableColumn id="23" xr3:uid="{928EF5E3-A8A5-497C-80C0-8A67D89DEDF7}" name="Current date" dataDxfId="34">
      <calculatedColumnFormula>TODAY()</calculatedColumnFormula>
    </tableColumn>
    <tableColumn id="24" xr3:uid="{702DA731-E8D3-4B80-A1D4-E3A995073E45}" name="Brithdate" dataDxfId="33">
      <calculatedColumnFormula>DATE(N2,O2,P2)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courses/excel-for-business-finance" TargetMode="External"/><Relationship Id="rId1" Type="http://schemas.openxmlformats.org/officeDocument/2006/relationships/hyperlink" Target="https://www.youtube.com/c/KenjiExplains/featured"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915A0-D6C6-43C4-A66E-7661AFD1C3C9}">
  <dimension ref="B3:D16"/>
  <sheetViews>
    <sheetView showGridLines="0" zoomScale="110" zoomScaleNormal="110" workbookViewId="0">
      <selection activeCell="C9" sqref="C9"/>
    </sheetView>
  </sheetViews>
  <sheetFormatPr defaultColWidth="10.796875" defaultRowHeight="15.6" x14ac:dyDescent="0.3"/>
  <cols>
    <col min="1" max="1" width="10.796875" style="6"/>
    <col min="2" max="2" width="8.5" style="6" customWidth="1"/>
    <col min="3" max="3" width="102.69921875" style="6" bestFit="1" customWidth="1"/>
    <col min="4" max="4" width="9.5" style="6" customWidth="1"/>
    <col min="5" max="16384" width="10.796875" style="6"/>
  </cols>
  <sheetData>
    <row r="3" spans="2:4" ht="61.2" x14ac:dyDescent="0.3">
      <c r="B3" s="3"/>
      <c r="C3" s="4" t="s">
        <v>1802</v>
      </c>
      <c r="D3" s="5"/>
    </row>
    <row r="4" spans="2:4" ht="54" customHeight="1" x14ac:dyDescent="0.3">
      <c r="B4" s="7"/>
      <c r="C4" s="8"/>
      <c r="D4" s="9"/>
    </row>
    <row r="5" spans="2:4" ht="31.95" customHeight="1" x14ac:dyDescent="0.3">
      <c r="B5" s="7"/>
      <c r="C5" s="8"/>
      <c r="D5" s="9"/>
    </row>
    <row r="6" spans="2:4" x14ac:dyDescent="0.3">
      <c r="B6" s="7"/>
      <c r="C6"/>
      <c r="D6" s="9"/>
    </row>
    <row r="7" spans="2:4" s="13" customFormat="1" ht="21" x14ac:dyDescent="0.4">
      <c r="B7" s="10"/>
      <c r="C7" s="11" t="s">
        <v>1796</v>
      </c>
      <c r="D7" s="12"/>
    </row>
    <row r="8" spans="2:4" s="13" customFormat="1" x14ac:dyDescent="0.3">
      <c r="B8" s="10"/>
      <c r="C8" s="14"/>
      <c r="D8" s="12"/>
    </row>
    <row r="9" spans="2:4" s="18" customFormat="1" ht="23.4" x14ac:dyDescent="0.3">
      <c r="B9" s="15"/>
      <c r="C9" s="16" t="s">
        <v>1797</v>
      </c>
      <c r="D9" s="17"/>
    </row>
    <row r="10" spans="2:4" x14ac:dyDescent="0.3">
      <c r="B10" s="7"/>
      <c r="C10"/>
      <c r="D10" s="9"/>
    </row>
    <row r="11" spans="2:4" ht="18" x14ac:dyDescent="0.35">
      <c r="B11" s="7"/>
      <c r="C11" s="19" t="s">
        <v>1798</v>
      </c>
      <c r="D11" s="9"/>
    </row>
    <row r="12" spans="2:4" x14ac:dyDescent="0.3">
      <c r="B12" s="7"/>
      <c r="C12"/>
      <c r="D12" s="9"/>
    </row>
    <row r="13" spans="2:4" x14ac:dyDescent="0.3">
      <c r="B13" s="7"/>
      <c r="C13" s="20" t="s">
        <v>1799</v>
      </c>
      <c r="D13" s="9"/>
    </row>
    <row r="14" spans="2:4" x14ac:dyDescent="0.3">
      <c r="B14" s="7"/>
      <c r="C14" t="s">
        <v>1800</v>
      </c>
      <c r="D14" s="9"/>
    </row>
    <row r="15" spans="2:4" ht="31.2" x14ac:dyDescent="0.3">
      <c r="B15" s="7"/>
      <c r="C15" s="21" t="s">
        <v>1801</v>
      </c>
      <c r="D15" s="9"/>
    </row>
    <row r="16" spans="2:4" x14ac:dyDescent="0.3">
      <c r="B16" s="22"/>
      <c r="C16" s="23"/>
      <c r="D16" s="24"/>
    </row>
  </sheetData>
  <sheetProtection algorithmName="SHA-512" hashValue="G1RY5hOcqj4suHHa1tx1y0eYlLPpf95bmL4lYksRikKFwHedZlTCT3jrCsJQbTdg98ZLWbWzP+gWHNd0JpLWSw==" saltValue="OqagwMq3QH3a3V1+ahgTuw==" spinCount="100000" sheet="1" objects="1" scenarios="1"/>
  <hyperlinks>
    <hyperlink ref="C11" r:id="rId1" display="Made by Kenji Explains" xr:uid="{3DB125ED-C9A7-476E-999B-43142C0A80F7}"/>
    <hyperlink ref="C9" r:id="rId2" display="Get our Power BI for Business Analytics." xr:uid="{C5B491A5-BC64-4C83-BE47-F7652704CA47}"/>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70AA1-D0D4-46CF-8FAF-F6F828D63B9B}">
  <dimension ref="A1:V482"/>
  <sheetViews>
    <sheetView zoomScaleNormal="100" workbookViewId="0">
      <selection activeCell="R9" sqref="R9"/>
    </sheetView>
  </sheetViews>
  <sheetFormatPr defaultColWidth="10.69921875" defaultRowHeight="15.6" x14ac:dyDescent="0.3"/>
  <cols>
    <col min="1" max="1" width="4.69921875" customWidth="1"/>
    <col min="8" max="8" width="11" customWidth="1"/>
    <col min="12" max="16" width="11" customWidth="1"/>
    <col min="18" max="20" width="11" customWidth="1"/>
    <col min="21" max="21" width="12"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1A910-600E-404B-B723-966D52D80903}">
  <dimension ref="A2:F27"/>
  <sheetViews>
    <sheetView zoomScale="54" zoomScaleNormal="75" workbookViewId="0">
      <selection activeCell="L45" sqref="L45"/>
    </sheetView>
  </sheetViews>
  <sheetFormatPr defaultRowHeight="15.6" x14ac:dyDescent="0.3"/>
  <cols>
    <col min="1" max="1" width="20.19921875" bestFit="1" customWidth="1"/>
    <col min="2" max="2" width="20.5" customWidth="1"/>
    <col min="3" max="3" width="24.8984375" customWidth="1"/>
    <col min="4" max="4" width="13.3984375" customWidth="1"/>
    <col min="5" max="5" width="27.59765625" customWidth="1"/>
    <col min="6" max="6" width="19.59765625" bestFit="1" customWidth="1"/>
    <col min="7" max="7" width="20.59765625" bestFit="1" customWidth="1"/>
    <col min="8" max="8" width="15.8984375" bestFit="1" customWidth="1"/>
    <col min="9" max="9" width="17.796875" bestFit="1" customWidth="1"/>
    <col min="10" max="10" width="13.8984375" bestFit="1" customWidth="1"/>
    <col min="11" max="11" width="15.8984375" bestFit="1" customWidth="1"/>
    <col min="12" max="12" width="24.59765625" bestFit="1" customWidth="1"/>
    <col min="13" max="13" width="11.59765625" bestFit="1" customWidth="1"/>
    <col min="14" max="14" width="12.796875" bestFit="1" customWidth="1"/>
    <col min="15" max="15" width="14.59765625" bestFit="1" customWidth="1"/>
    <col min="16" max="16" width="19.296875" bestFit="1" customWidth="1"/>
    <col min="17" max="17" width="16.796875" bestFit="1" customWidth="1"/>
    <col min="18" max="18" width="27.59765625" bestFit="1" customWidth="1"/>
    <col min="19" max="19" width="31.3984375" bestFit="1" customWidth="1"/>
    <col min="20" max="20" width="20.3984375" bestFit="1" customWidth="1"/>
    <col min="21" max="21" width="19.796875" bestFit="1" customWidth="1"/>
    <col min="22" max="22" width="11.59765625" bestFit="1" customWidth="1"/>
    <col min="23" max="23" width="13.19921875" bestFit="1" customWidth="1"/>
    <col min="24" max="24" width="14" bestFit="1" customWidth="1"/>
    <col min="25" max="25" width="26.296875" bestFit="1" customWidth="1"/>
    <col min="26" max="26" width="18.69921875" bestFit="1" customWidth="1"/>
    <col min="27" max="27" width="21.296875" bestFit="1" customWidth="1"/>
    <col min="28" max="28" width="23.796875" bestFit="1" customWidth="1"/>
    <col min="29" max="29" width="12.796875" bestFit="1" customWidth="1"/>
    <col min="30" max="30" width="17.796875" bestFit="1" customWidth="1"/>
    <col min="31" max="31" width="29.19921875" bestFit="1" customWidth="1"/>
    <col min="32" max="32" width="13.59765625" bestFit="1" customWidth="1"/>
    <col min="33" max="33" width="28.3984375" bestFit="1" customWidth="1"/>
    <col min="34" max="34" width="11.59765625" bestFit="1" customWidth="1"/>
    <col min="35" max="35" width="14.5" bestFit="1" customWidth="1"/>
    <col min="36" max="36" width="11.5" bestFit="1" customWidth="1"/>
    <col min="37" max="37" width="19.3984375" bestFit="1" customWidth="1"/>
    <col min="38" max="38" width="13.796875" bestFit="1" customWidth="1"/>
    <col min="39" max="39" width="11.09765625" bestFit="1" customWidth="1"/>
    <col min="40" max="40" width="17.296875" bestFit="1" customWidth="1"/>
    <col min="41" max="41" width="22.296875" bestFit="1" customWidth="1"/>
    <col min="42" max="42" width="14.296875" bestFit="1" customWidth="1"/>
    <col min="43" max="43" width="9.09765625" bestFit="1" customWidth="1"/>
    <col min="44" max="44" width="16.8984375" bestFit="1" customWidth="1"/>
    <col min="45" max="45" width="11.796875" bestFit="1" customWidth="1"/>
    <col min="46" max="46" width="12.09765625" bestFit="1" customWidth="1"/>
    <col min="47" max="47" width="11.59765625" bestFit="1" customWidth="1"/>
    <col min="48" max="48" width="6.796875" bestFit="1" customWidth="1"/>
    <col min="49" max="49" width="11.296875" bestFit="1" customWidth="1"/>
    <col min="50" max="50" width="10.69921875" bestFit="1" customWidth="1"/>
    <col min="51" max="51" width="9" bestFit="1" customWidth="1"/>
    <col min="52" max="52" width="9.19921875" bestFit="1" customWidth="1"/>
    <col min="53" max="53" width="27.8984375" bestFit="1" customWidth="1"/>
    <col min="54" max="54" width="22.796875" bestFit="1" customWidth="1"/>
    <col min="55" max="55" width="20.8984375" bestFit="1" customWidth="1"/>
    <col min="56" max="56" width="15" bestFit="1" customWidth="1"/>
    <col min="57" max="57" width="35.59765625" bestFit="1" customWidth="1"/>
    <col min="58" max="58" width="11.19921875" bestFit="1" customWidth="1"/>
    <col min="59" max="59" width="19.59765625" bestFit="1" customWidth="1"/>
    <col min="60" max="60" width="14.09765625" bestFit="1" customWidth="1"/>
    <col min="61" max="61" width="24.3984375" bestFit="1" customWidth="1"/>
    <col min="62" max="62" width="16.8984375" bestFit="1" customWidth="1"/>
    <col min="63" max="63" width="9.796875" bestFit="1" customWidth="1"/>
    <col min="64" max="64" width="12.19921875" bestFit="1" customWidth="1"/>
    <col min="65" max="65" width="16" bestFit="1" customWidth="1"/>
    <col min="66" max="66" width="13.5" bestFit="1" customWidth="1"/>
    <col min="67" max="67" width="16.796875" bestFit="1" customWidth="1"/>
    <col min="68" max="68" width="16" bestFit="1" customWidth="1"/>
    <col min="69" max="69" width="9.59765625" bestFit="1" customWidth="1"/>
    <col min="70" max="70" width="11.59765625" bestFit="1" customWidth="1"/>
    <col min="71" max="71" width="12" bestFit="1" customWidth="1"/>
    <col min="72" max="72" width="12.59765625" bestFit="1" customWidth="1"/>
    <col min="73" max="73" width="14.8984375" bestFit="1" customWidth="1"/>
    <col min="74" max="74" width="9.796875" bestFit="1" customWidth="1"/>
    <col min="75" max="75" width="13.3984375" bestFit="1" customWidth="1"/>
    <col min="76" max="76" width="16.09765625" bestFit="1" customWidth="1"/>
    <col min="77" max="77" width="13.59765625" bestFit="1" customWidth="1"/>
    <col min="78" max="78" width="13.296875" bestFit="1" customWidth="1"/>
    <col min="79" max="79" width="12.09765625" bestFit="1" customWidth="1"/>
    <col min="80" max="80" width="19.3984375" bestFit="1" customWidth="1"/>
    <col min="81" max="81" width="12.59765625" bestFit="1" customWidth="1"/>
    <col min="82" max="82" width="10.8984375" bestFit="1" customWidth="1"/>
    <col min="83" max="83" width="11.3984375" bestFit="1" customWidth="1"/>
    <col min="84" max="84" width="13.3984375" bestFit="1" customWidth="1"/>
    <col min="85" max="85" width="9.3984375" bestFit="1" customWidth="1"/>
    <col min="86" max="86" width="12.09765625" bestFit="1" customWidth="1"/>
    <col min="87" max="87" width="22.09765625" bestFit="1" customWidth="1"/>
    <col min="88" max="88" width="12.796875" bestFit="1" customWidth="1"/>
    <col min="89" max="89" width="17.5" bestFit="1" customWidth="1"/>
    <col min="90" max="90" width="19.5" bestFit="1" customWidth="1"/>
    <col min="91" max="91" width="14.796875" bestFit="1" customWidth="1"/>
    <col min="92" max="92" width="13.796875" bestFit="1" customWidth="1"/>
    <col min="93" max="93" width="12.8984375" bestFit="1" customWidth="1"/>
    <col min="94" max="94" width="9.8984375" bestFit="1" customWidth="1"/>
    <col min="95" max="95" width="12.796875" bestFit="1" customWidth="1"/>
    <col min="96" max="96" width="7.8984375" bestFit="1" customWidth="1"/>
    <col min="97" max="97" width="14.8984375" bestFit="1" customWidth="1"/>
    <col min="98" max="98" width="11.296875" bestFit="1" customWidth="1"/>
    <col min="99" max="99" width="20.796875" bestFit="1" customWidth="1"/>
    <col min="100" max="100" width="11.3984375" bestFit="1" customWidth="1"/>
    <col min="101" max="101" width="16.5" bestFit="1" customWidth="1"/>
    <col min="102" max="102" width="13.296875" bestFit="1" customWidth="1"/>
    <col min="103" max="103" width="15.59765625" bestFit="1" customWidth="1"/>
    <col min="104" max="104" width="14.69921875" bestFit="1" customWidth="1"/>
    <col min="105" max="105" width="18.19921875" bestFit="1" customWidth="1"/>
    <col min="106" max="106" width="15.296875" bestFit="1" customWidth="1"/>
    <col min="107" max="107" width="20.09765625" bestFit="1" customWidth="1"/>
    <col min="108" max="108" width="16.19921875" bestFit="1" customWidth="1"/>
    <col min="109" max="109" width="9.69921875" bestFit="1" customWidth="1"/>
    <col min="110" max="110" width="16.796875" bestFit="1" customWidth="1"/>
    <col min="111" max="111" width="15.5" bestFit="1" customWidth="1"/>
    <col min="112" max="112" width="5.8984375" bestFit="1" customWidth="1"/>
    <col min="113" max="113" width="11.296875" bestFit="1" customWidth="1"/>
    <col min="114" max="114" width="9.3984375" bestFit="1" customWidth="1"/>
    <col min="115" max="115" width="22.8984375" bestFit="1" customWidth="1"/>
    <col min="116" max="116" width="15.59765625" bestFit="1" customWidth="1"/>
    <col min="117" max="117" width="11.59765625" bestFit="1" customWidth="1"/>
    <col min="118" max="118" width="22.296875" bestFit="1" customWidth="1"/>
    <col min="119" max="119" width="34.3984375" bestFit="1" customWidth="1"/>
    <col min="120" max="120" width="10.59765625" bestFit="1" customWidth="1"/>
    <col min="121" max="121" width="15" bestFit="1" customWidth="1"/>
    <col min="122" max="122" width="15.19921875" bestFit="1" customWidth="1"/>
    <col min="123" max="123" width="12.796875" bestFit="1" customWidth="1"/>
    <col min="124" max="124" width="18.296875" bestFit="1" customWidth="1"/>
    <col min="125" max="125" width="16.59765625" bestFit="1" customWidth="1"/>
    <col min="126" max="126" width="11.09765625" bestFit="1" customWidth="1"/>
    <col min="127" max="127" width="13.09765625" bestFit="1" customWidth="1"/>
    <col min="128" max="128" width="18.296875" bestFit="1" customWidth="1"/>
    <col min="129" max="129" width="15.09765625" bestFit="1" customWidth="1"/>
    <col min="130" max="130" width="12.59765625" bestFit="1" customWidth="1"/>
    <col min="131" max="131" width="12.796875" bestFit="1" customWidth="1"/>
    <col min="132" max="132" width="14.09765625" bestFit="1" customWidth="1"/>
    <col min="133" max="133" width="12.09765625" bestFit="1" customWidth="1"/>
    <col min="134" max="134" width="17.59765625" bestFit="1" customWidth="1"/>
    <col min="135" max="135" width="12.3984375" bestFit="1" customWidth="1"/>
    <col min="136" max="136" width="33.59765625" bestFit="1" customWidth="1"/>
    <col min="137" max="137" width="15.09765625" bestFit="1" customWidth="1"/>
    <col min="138" max="138" width="12.5" bestFit="1" customWidth="1"/>
    <col min="139" max="139" width="13.796875" bestFit="1" customWidth="1"/>
    <col min="140" max="140" width="15.09765625" bestFit="1" customWidth="1"/>
    <col min="141" max="141" width="15" bestFit="1" customWidth="1"/>
    <col min="142" max="142" width="17.59765625" bestFit="1" customWidth="1"/>
    <col min="143" max="143" width="13.5" bestFit="1" customWidth="1"/>
    <col min="144" max="144" width="11.8984375" bestFit="1" customWidth="1"/>
    <col min="145" max="145" width="16" bestFit="1" customWidth="1"/>
    <col min="146" max="146" width="13.8984375" bestFit="1" customWidth="1"/>
    <col min="147" max="147" width="20.796875" bestFit="1" customWidth="1"/>
    <col min="148" max="148" width="10.3984375" bestFit="1" customWidth="1"/>
    <col min="149" max="149" width="13.8984375" bestFit="1" customWidth="1"/>
    <col min="150" max="150" width="24.296875" bestFit="1" customWidth="1"/>
    <col min="151" max="151" width="21.09765625" bestFit="1" customWidth="1"/>
    <col min="152" max="152" width="19.59765625" bestFit="1" customWidth="1"/>
    <col min="153" max="153" width="11.796875" bestFit="1" customWidth="1"/>
    <col min="154" max="154" width="16.796875" bestFit="1" customWidth="1"/>
    <col min="155" max="155" width="13.3984375" bestFit="1" customWidth="1"/>
    <col min="156" max="156" width="11.3984375" bestFit="1" customWidth="1"/>
    <col min="157" max="157" width="17.09765625" bestFit="1" customWidth="1"/>
    <col min="159" max="159" width="12.59765625" bestFit="1" customWidth="1"/>
    <col min="160" max="160" width="12.296875" bestFit="1" customWidth="1"/>
    <col min="161" max="161" width="19.796875" bestFit="1" customWidth="1"/>
    <col min="162" max="162" width="19.3984375" bestFit="1" customWidth="1"/>
    <col min="163" max="163" width="14.3984375" bestFit="1" customWidth="1"/>
    <col min="164" max="164" width="14.59765625" bestFit="1" customWidth="1"/>
    <col min="165" max="165" width="12.296875" bestFit="1" customWidth="1"/>
    <col min="166" max="166" width="18" bestFit="1" customWidth="1"/>
    <col min="167" max="167" width="15.8984375" bestFit="1" customWidth="1"/>
    <col min="168" max="168" width="7.796875" bestFit="1" customWidth="1"/>
    <col min="169" max="169" width="14.5" bestFit="1" customWidth="1"/>
    <col min="170" max="170" width="15.8984375" bestFit="1" customWidth="1"/>
    <col min="171" max="171" width="15.09765625" bestFit="1" customWidth="1"/>
    <col min="172" max="172" width="11.8984375" bestFit="1" customWidth="1"/>
    <col min="173" max="173" width="15.5" bestFit="1" customWidth="1"/>
    <col min="174" max="174" width="11.3984375" bestFit="1" customWidth="1"/>
    <col min="175" max="175" width="13.8984375" bestFit="1" customWidth="1"/>
    <col min="176" max="176" width="9.09765625" bestFit="1" customWidth="1"/>
    <col min="177" max="177" width="17.3984375" bestFit="1" customWidth="1"/>
    <col min="178" max="178" width="12.09765625" bestFit="1" customWidth="1"/>
    <col min="179" max="179" width="9.09765625" bestFit="1" customWidth="1"/>
    <col min="180" max="180" width="17.8984375" bestFit="1" customWidth="1"/>
    <col min="181" max="181" width="9.3984375" bestFit="1" customWidth="1"/>
    <col min="182" max="182" width="10.59765625" bestFit="1" customWidth="1"/>
    <col min="183" max="183" width="8.296875" bestFit="1" customWidth="1"/>
    <col min="184" max="184" width="16.3984375" bestFit="1" customWidth="1"/>
    <col min="185" max="185" width="12.5" bestFit="1" customWidth="1"/>
    <col min="186" max="186" width="10.09765625" bestFit="1" customWidth="1"/>
    <col min="187" max="187" width="7.59765625" bestFit="1" customWidth="1"/>
    <col min="188" max="188" width="21.8984375" bestFit="1" customWidth="1"/>
    <col min="189" max="189" width="20.59765625" bestFit="1" customWidth="1"/>
    <col min="190" max="190" width="11.59765625" bestFit="1" customWidth="1"/>
    <col min="191" max="191" width="11.19921875" bestFit="1" customWidth="1"/>
    <col min="192" max="193" width="10.3984375" bestFit="1" customWidth="1"/>
    <col min="194" max="194" width="10.59765625" bestFit="1" customWidth="1"/>
    <col min="195" max="195" width="10.19921875" bestFit="1" customWidth="1"/>
    <col min="196" max="196" width="11.09765625" bestFit="1" customWidth="1"/>
    <col min="197" max="197" width="20.8984375" bestFit="1" customWidth="1"/>
    <col min="198" max="198" width="22" bestFit="1" customWidth="1"/>
    <col min="199" max="199" width="10.8984375" bestFit="1" customWidth="1"/>
    <col min="200" max="200" width="12.09765625" bestFit="1" customWidth="1"/>
    <col min="201" max="201" width="10.19921875" bestFit="1" customWidth="1"/>
    <col min="202" max="202" width="14.296875" bestFit="1" customWidth="1"/>
    <col min="203" max="203" width="12.3984375" bestFit="1" customWidth="1"/>
    <col min="204" max="204" width="11.796875" bestFit="1" customWidth="1"/>
    <col min="205" max="205" width="9.59765625" bestFit="1" customWidth="1"/>
    <col min="206" max="206" width="15" bestFit="1" customWidth="1"/>
    <col min="207" max="207" width="10.8984375" bestFit="1" customWidth="1"/>
    <col min="208" max="208" width="13.3984375" bestFit="1" customWidth="1"/>
    <col min="209" max="209" width="10.296875" bestFit="1" customWidth="1"/>
    <col min="210" max="210" width="7.5" bestFit="1" customWidth="1"/>
    <col min="211" max="211" width="25.796875" bestFit="1" customWidth="1"/>
    <col min="212" max="212" width="11.5" bestFit="1" customWidth="1"/>
    <col min="213" max="213" width="10.09765625" bestFit="1" customWidth="1"/>
    <col min="214" max="214" width="10.296875" bestFit="1" customWidth="1"/>
    <col min="215" max="215" width="12.5" bestFit="1" customWidth="1"/>
    <col min="216" max="216" width="16.8984375" bestFit="1" customWidth="1"/>
    <col min="217" max="217" width="17.09765625" bestFit="1" customWidth="1"/>
    <col min="218" max="218" width="13.59765625" bestFit="1" customWidth="1"/>
    <col min="219" max="219" width="12.796875" bestFit="1" customWidth="1"/>
    <col min="220" max="220" width="15.59765625" bestFit="1" customWidth="1"/>
    <col min="221" max="221" width="9.796875" bestFit="1" customWidth="1"/>
    <col min="222" max="222" width="10.09765625" bestFit="1" customWidth="1"/>
    <col min="223" max="223" width="11.59765625" bestFit="1" customWidth="1"/>
    <col min="224" max="224" width="14.09765625" bestFit="1" customWidth="1"/>
    <col min="225" max="225" width="19.09765625" bestFit="1" customWidth="1"/>
    <col min="226" max="226" width="19.796875" bestFit="1" customWidth="1"/>
    <col min="227" max="227" width="10.8984375" bestFit="1" customWidth="1"/>
    <col min="228" max="228" width="14.796875" bestFit="1" customWidth="1"/>
    <col min="229" max="229" width="10.8984375" bestFit="1" customWidth="1"/>
    <col min="230" max="230" width="13.59765625" bestFit="1" customWidth="1"/>
    <col min="231" max="231" width="11.09765625" bestFit="1" customWidth="1"/>
    <col min="232" max="232" width="9.796875" bestFit="1" customWidth="1"/>
    <col min="233" max="233" width="25.8984375" bestFit="1" customWidth="1"/>
    <col min="234" max="234" width="15.09765625" bestFit="1" customWidth="1"/>
    <col min="235" max="235" width="6.59765625" bestFit="1" customWidth="1"/>
    <col min="236" max="236" width="12.296875" bestFit="1" customWidth="1"/>
    <col min="237" max="237" width="10.59765625" bestFit="1" customWidth="1"/>
    <col min="238" max="238" width="9.8984375" bestFit="1" customWidth="1"/>
    <col min="239" max="239" width="14" bestFit="1" customWidth="1"/>
    <col min="240" max="240" width="12.59765625" bestFit="1" customWidth="1"/>
    <col min="241" max="241" width="12.19921875" bestFit="1" customWidth="1"/>
    <col min="242" max="242" width="23.59765625" bestFit="1" customWidth="1"/>
    <col min="243" max="243" width="18.796875" bestFit="1" customWidth="1"/>
    <col min="244" max="244" width="5.296875" bestFit="1" customWidth="1"/>
    <col min="245" max="245" width="6.3984375" bestFit="1" customWidth="1"/>
    <col min="246" max="246" width="18.09765625" bestFit="1" customWidth="1"/>
    <col min="247" max="247" width="7.796875" bestFit="1" customWidth="1"/>
    <col min="248" max="248" width="17.8984375" bestFit="1" customWidth="1"/>
    <col min="249" max="249" width="12.796875" bestFit="1" customWidth="1"/>
    <col min="250" max="250" width="10.296875" bestFit="1" customWidth="1"/>
    <col min="251" max="251" width="16.8984375" bestFit="1" customWidth="1"/>
    <col min="252" max="252" width="11.296875" bestFit="1" customWidth="1"/>
    <col min="253" max="254" width="18.8984375" bestFit="1" customWidth="1"/>
    <col min="255" max="255" width="11.3984375" bestFit="1" customWidth="1"/>
    <col min="256" max="256" width="15.09765625" bestFit="1" customWidth="1"/>
    <col min="257" max="257" width="12.09765625" bestFit="1" customWidth="1"/>
    <col min="258" max="258" width="14.296875" bestFit="1" customWidth="1"/>
    <col min="259" max="259" width="19.09765625" bestFit="1" customWidth="1"/>
    <col min="260" max="260" width="12.296875" bestFit="1" customWidth="1"/>
    <col min="261" max="261" width="16.59765625" bestFit="1" customWidth="1"/>
    <col min="262" max="262" width="12.796875" bestFit="1" customWidth="1"/>
    <col min="263" max="263" width="13.3984375" bestFit="1" customWidth="1"/>
    <col min="264" max="264" width="11.296875" bestFit="1" customWidth="1"/>
    <col min="265" max="265" width="11.19921875" bestFit="1" customWidth="1"/>
    <col min="266" max="266" width="14.8984375" bestFit="1" customWidth="1"/>
    <col min="267" max="267" width="25.296875" bestFit="1" customWidth="1"/>
    <col min="268" max="268" width="23.5" bestFit="1" customWidth="1"/>
    <col min="269" max="269" width="12.19921875" bestFit="1" customWidth="1"/>
    <col min="270" max="270" width="11.796875" bestFit="1" customWidth="1"/>
    <col min="271" max="271" width="21.296875" bestFit="1" customWidth="1"/>
    <col min="272" max="272" width="16.296875" bestFit="1" customWidth="1"/>
    <col min="273" max="273" width="36.5" bestFit="1" customWidth="1"/>
    <col min="274" max="274" width="21.8984375" bestFit="1" customWidth="1"/>
    <col min="275" max="275" width="27.09765625" bestFit="1" customWidth="1"/>
    <col min="276" max="276" width="12.09765625" bestFit="1" customWidth="1"/>
    <col min="277" max="277" width="15.09765625" bestFit="1" customWidth="1"/>
    <col min="278" max="278" width="11.59765625" bestFit="1" customWidth="1"/>
    <col min="279" max="279" width="15.296875" bestFit="1" customWidth="1"/>
    <col min="280" max="280" width="13.59765625" bestFit="1" customWidth="1"/>
    <col min="281" max="281" width="32.8984375" bestFit="1" customWidth="1"/>
    <col min="282" max="282" width="9.796875" bestFit="1" customWidth="1"/>
    <col min="283" max="283" width="25.296875" bestFit="1" customWidth="1"/>
    <col min="284" max="284" width="19.3984375" bestFit="1" customWidth="1"/>
    <col min="285" max="285" width="23.09765625" bestFit="1" customWidth="1"/>
    <col min="286" max="286" width="12.09765625" bestFit="1" customWidth="1"/>
    <col min="287" max="287" width="17.3984375" bestFit="1" customWidth="1"/>
    <col min="288" max="288" width="11.3984375" bestFit="1" customWidth="1"/>
    <col min="289" max="289" width="15.09765625" bestFit="1" customWidth="1"/>
    <col min="290" max="290" width="11.8984375" bestFit="1" customWidth="1"/>
    <col min="291" max="291" width="11.3984375" bestFit="1" customWidth="1"/>
    <col min="292" max="292" width="13.8984375" bestFit="1" customWidth="1"/>
    <col min="293" max="293" width="11.8984375" bestFit="1" customWidth="1"/>
    <col min="294" max="294" width="13.5" bestFit="1" customWidth="1"/>
    <col min="295" max="295" width="12" bestFit="1" customWidth="1"/>
    <col min="296" max="296" width="13" bestFit="1" customWidth="1"/>
    <col min="297" max="297" width="14.796875" bestFit="1" customWidth="1"/>
    <col min="298" max="298" width="11.796875" bestFit="1" customWidth="1"/>
    <col min="299" max="299" width="13.09765625" bestFit="1" customWidth="1"/>
    <col min="300" max="300" width="19.69921875" bestFit="1" customWidth="1"/>
    <col min="301" max="301" width="14.796875" bestFit="1" customWidth="1"/>
    <col min="302" max="302" width="16.59765625" bestFit="1" customWidth="1"/>
    <col min="303" max="303" width="12.3984375" bestFit="1" customWidth="1"/>
    <col min="304" max="304" width="22.296875" bestFit="1" customWidth="1"/>
    <col min="305" max="305" width="12.796875" bestFit="1" customWidth="1"/>
    <col min="306" max="306" width="12.69921875" bestFit="1" customWidth="1"/>
    <col min="307" max="307" width="14.69921875" bestFit="1" customWidth="1"/>
    <col min="308" max="308" width="11.3984375" bestFit="1" customWidth="1"/>
    <col min="309" max="309" width="18.59765625" bestFit="1" customWidth="1"/>
    <col min="310" max="310" width="13.3984375" bestFit="1" customWidth="1"/>
    <col min="311" max="311" width="17.796875" bestFit="1" customWidth="1"/>
    <col min="312" max="312" width="10.296875" bestFit="1" customWidth="1"/>
    <col min="313" max="313" width="25.796875" bestFit="1" customWidth="1"/>
    <col min="314" max="314" width="12.5" bestFit="1" customWidth="1"/>
    <col min="315" max="315" width="22.09765625" bestFit="1" customWidth="1"/>
    <col min="316" max="316" width="13.19921875" bestFit="1" customWidth="1"/>
    <col min="317" max="317" width="11.8984375" bestFit="1" customWidth="1"/>
    <col min="318" max="318" width="9.796875" bestFit="1" customWidth="1"/>
    <col min="319" max="319" width="14" bestFit="1" customWidth="1"/>
    <col min="320" max="320" width="11.3984375" bestFit="1" customWidth="1"/>
    <col min="321" max="321" width="17.796875" bestFit="1" customWidth="1"/>
    <col min="322" max="322" width="13.8984375" bestFit="1" customWidth="1"/>
    <col min="323" max="323" width="10.296875" bestFit="1" customWidth="1"/>
    <col min="324" max="324" width="18" bestFit="1" customWidth="1"/>
    <col min="325" max="325" width="23.796875" bestFit="1" customWidth="1"/>
    <col min="326" max="326" width="11.09765625" bestFit="1" customWidth="1"/>
    <col min="327" max="327" width="10.8984375" bestFit="1" customWidth="1"/>
    <col min="328" max="328" width="11.3984375" bestFit="1" customWidth="1"/>
    <col min="329" max="329" width="17.8984375" bestFit="1" customWidth="1"/>
    <col min="330" max="330" width="13.8984375" bestFit="1" customWidth="1"/>
    <col min="331" max="331" width="8.3984375" bestFit="1" customWidth="1"/>
    <col min="332" max="332" width="14.296875" bestFit="1" customWidth="1"/>
    <col min="333" max="333" width="11.296875" bestFit="1" customWidth="1"/>
    <col min="334" max="334" width="13.796875" bestFit="1" customWidth="1"/>
    <col min="335" max="335" width="15.59765625" bestFit="1" customWidth="1"/>
    <col min="336" max="336" width="13.796875" bestFit="1" customWidth="1"/>
    <col min="337" max="337" width="10" bestFit="1" customWidth="1"/>
    <col min="338" max="338" width="14.59765625" bestFit="1" customWidth="1"/>
    <col min="339" max="339" width="14.3984375" bestFit="1" customWidth="1"/>
    <col min="340" max="340" width="18.8984375" bestFit="1" customWidth="1"/>
    <col min="341" max="341" width="13.296875" bestFit="1" customWidth="1"/>
    <col min="342" max="342" width="22.09765625" bestFit="1" customWidth="1"/>
    <col min="343" max="343" width="12.3984375" bestFit="1" customWidth="1"/>
    <col min="344" max="344" width="11.8984375" bestFit="1" customWidth="1"/>
    <col min="345" max="345" width="15.09765625" bestFit="1" customWidth="1"/>
    <col min="346" max="346" width="21.09765625" bestFit="1" customWidth="1"/>
    <col min="347" max="347" width="11.59765625" bestFit="1" customWidth="1"/>
    <col min="348" max="348" width="9.09765625" bestFit="1" customWidth="1"/>
    <col min="349" max="349" width="12.09765625" bestFit="1" customWidth="1"/>
    <col min="350" max="350" width="18.59765625" bestFit="1" customWidth="1"/>
    <col min="351" max="351" width="23.09765625" bestFit="1" customWidth="1"/>
    <col min="352" max="352" width="24.3984375" bestFit="1" customWidth="1"/>
    <col min="353" max="353" width="19.8984375" bestFit="1" customWidth="1"/>
    <col min="354" max="354" width="27.3984375" bestFit="1" customWidth="1"/>
    <col min="355" max="355" width="13.296875" bestFit="1" customWidth="1"/>
    <col min="356" max="356" width="10.09765625" bestFit="1" customWidth="1"/>
    <col min="357" max="357" width="12.796875" bestFit="1" customWidth="1"/>
    <col min="358" max="358" width="10.59765625" bestFit="1" customWidth="1"/>
    <col min="359" max="359" width="18.09765625" bestFit="1" customWidth="1"/>
    <col min="360" max="360" width="14.59765625" bestFit="1" customWidth="1"/>
    <col min="361" max="361" width="18.796875" bestFit="1" customWidth="1"/>
    <col min="362" max="362" width="14.09765625" bestFit="1" customWidth="1"/>
    <col min="363" max="363" width="11.296875" bestFit="1" customWidth="1"/>
    <col min="364" max="364" width="9.3984375" bestFit="1" customWidth="1"/>
    <col min="365" max="365" width="10.8984375" bestFit="1" customWidth="1"/>
    <col min="366" max="366" width="13.8984375" bestFit="1" customWidth="1"/>
    <col min="367" max="367" width="9.8984375" bestFit="1" customWidth="1"/>
    <col min="368" max="368" width="7.59765625" bestFit="1" customWidth="1"/>
    <col min="369" max="369" width="10.296875" bestFit="1" customWidth="1"/>
    <col min="370" max="370" width="15.09765625" bestFit="1" customWidth="1"/>
    <col min="371" max="371" width="14.59765625" bestFit="1" customWidth="1"/>
    <col min="372" max="372" width="17.8984375" bestFit="1" customWidth="1"/>
    <col min="373" max="373" width="25.3984375" bestFit="1" customWidth="1"/>
    <col min="374" max="374" width="13.296875" bestFit="1" customWidth="1"/>
    <col min="375" max="375" width="12.796875" bestFit="1" customWidth="1"/>
    <col min="376" max="376" width="10.59765625" bestFit="1" customWidth="1"/>
    <col min="377" max="377" width="12.5" bestFit="1" customWidth="1"/>
    <col min="378" max="378" width="22.5" bestFit="1" customWidth="1"/>
    <col min="379" max="379" width="18.09765625" bestFit="1" customWidth="1"/>
    <col min="380" max="380" width="16.3984375" bestFit="1" customWidth="1"/>
    <col min="381" max="381" width="19.59765625" bestFit="1" customWidth="1"/>
    <col min="382" max="382" width="12" bestFit="1" customWidth="1"/>
    <col min="383" max="383" width="13.296875" bestFit="1" customWidth="1"/>
    <col min="384" max="384" width="10.8984375" bestFit="1" customWidth="1"/>
    <col min="385" max="385" width="10.59765625" bestFit="1" customWidth="1"/>
    <col min="386" max="386" width="23.296875" bestFit="1" customWidth="1"/>
    <col min="387" max="387" width="11.3984375" bestFit="1" customWidth="1"/>
    <col min="388" max="388" width="13.796875" bestFit="1" customWidth="1"/>
    <col min="389" max="389" width="10.09765625" bestFit="1" customWidth="1"/>
    <col min="390" max="390" width="22.796875" bestFit="1" customWidth="1"/>
    <col min="391" max="391" width="6.796875" bestFit="1" customWidth="1"/>
    <col min="392" max="392" width="19.09765625" bestFit="1" customWidth="1"/>
    <col min="393" max="393" width="15.296875" bestFit="1" customWidth="1"/>
    <col min="394" max="394" width="19.796875" bestFit="1" customWidth="1"/>
    <col min="395" max="395" width="14.796875" bestFit="1" customWidth="1"/>
    <col min="396" max="396" width="23.09765625" bestFit="1" customWidth="1"/>
    <col min="397" max="397" width="13.3984375" bestFit="1" customWidth="1"/>
    <col min="398" max="398" width="13.19921875" bestFit="1" customWidth="1"/>
    <col min="399" max="399" width="23.09765625" bestFit="1" customWidth="1"/>
    <col min="400" max="400" width="15.09765625" bestFit="1" customWidth="1"/>
    <col min="401" max="401" width="12.09765625" bestFit="1" customWidth="1"/>
    <col min="402" max="402" width="19.09765625" bestFit="1" customWidth="1"/>
    <col min="403" max="403" width="12.796875" bestFit="1" customWidth="1"/>
    <col min="404" max="404" width="11.296875" bestFit="1" customWidth="1"/>
    <col min="405" max="405" width="11.796875" bestFit="1" customWidth="1"/>
    <col min="406" max="406" width="14.59765625" bestFit="1" customWidth="1"/>
    <col min="407" max="407" width="24.3984375" bestFit="1" customWidth="1"/>
    <col min="408" max="408" width="15.8984375" bestFit="1" customWidth="1"/>
    <col min="409" max="409" width="12.09765625" bestFit="1" customWidth="1"/>
    <col min="410" max="410" width="14.59765625" bestFit="1" customWidth="1"/>
    <col min="411" max="411" width="20.3984375" bestFit="1" customWidth="1"/>
    <col min="412" max="412" width="16.796875" bestFit="1" customWidth="1"/>
    <col min="413" max="413" width="17.3984375" bestFit="1" customWidth="1"/>
    <col min="414" max="414" width="16.796875" bestFit="1" customWidth="1"/>
    <col min="415" max="415" width="18.3984375" bestFit="1" customWidth="1"/>
    <col min="416" max="416" width="16.8984375" bestFit="1" customWidth="1"/>
    <col min="417" max="417" width="10.09765625" bestFit="1" customWidth="1"/>
    <col min="418" max="418" width="14.3984375" bestFit="1" customWidth="1"/>
    <col min="419" max="419" width="23.3984375" bestFit="1" customWidth="1"/>
    <col min="420" max="420" width="14.796875" bestFit="1" customWidth="1"/>
    <col min="421" max="421" width="22.796875" bestFit="1" customWidth="1"/>
    <col min="422" max="422" width="21.59765625" bestFit="1" customWidth="1"/>
    <col min="423" max="423" width="14.8984375" bestFit="1" customWidth="1"/>
    <col min="424" max="424" width="14.59765625" bestFit="1" customWidth="1"/>
    <col min="425" max="425" width="18.8984375" bestFit="1" customWidth="1"/>
    <col min="426" max="426" width="27.3984375" bestFit="1" customWidth="1"/>
    <col min="427" max="427" width="13.59765625" bestFit="1" customWidth="1"/>
    <col min="428" max="428" width="11.3984375" bestFit="1" customWidth="1"/>
    <col min="429" max="429" width="10.09765625" bestFit="1" customWidth="1"/>
    <col min="430" max="430" width="16.69921875" bestFit="1" customWidth="1"/>
    <col min="431" max="431" width="13.3984375" bestFit="1" customWidth="1"/>
    <col min="432" max="432" width="10.796875" bestFit="1" customWidth="1"/>
    <col min="433" max="433" width="14.3984375" bestFit="1" customWidth="1"/>
    <col min="434" max="434" width="11.59765625" bestFit="1" customWidth="1"/>
    <col min="435" max="435" width="16.796875" bestFit="1" customWidth="1"/>
    <col min="436" max="436" width="18.3984375" bestFit="1" customWidth="1"/>
    <col min="437" max="437" width="12.09765625" bestFit="1" customWidth="1"/>
    <col min="438" max="438" width="17.8984375" bestFit="1" customWidth="1"/>
    <col min="439" max="439" width="15.296875" bestFit="1" customWidth="1"/>
    <col min="440" max="440" width="15.8984375" bestFit="1" customWidth="1"/>
    <col min="441" max="441" width="21.796875" bestFit="1" customWidth="1"/>
    <col min="442" max="442" width="11.296875" bestFit="1" customWidth="1"/>
    <col min="443" max="443" width="12.296875" bestFit="1" customWidth="1"/>
    <col min="444" max="444" width="15.19921875" bestFit="1" customWidth="1"/>
    <col min="445" max="445" width="13.3984375" bestFit="1" customWidth="1"/>
    <col min="446" max="446" width="11.59765625" bestFit="1" customWidth="1"/>
    <col min="447" max="447" width="12.59765625" bestFit="1" customWidth="1"/>
    <col min="448" max="448" width="13.796875" bestFit="1" customWidth="1"/>
    <col min="449" max="449" width="19.296875" bestFit="1" customWidth="1"/>
    <col min="450" max="450" width="9.796875" bestFit="1" customWidth="1"/>
    <col min="451" max="451" width="12.796875" bestFit="1" customWidth="1"/>
    <col min="452" max="452" width="10.09765625" bestFit="1" customWidth="1"/>
    <col min="453" max="453" width="19.296875" bestFit="1" customWidth="1"/>
    <col min="454" max="454" width="13.796875" bestFit="1" customWidth="1"/>
    <col min="455" max="455" width="12.5" bestFit="1" customWidth="1"/>
    <col min="456" max="456" width="18.59765625" bestFit="1" customWidth="1"/>
    <col min="457" max="457" width="11.8984375" bestFit="1" customWidth="1"/>
    <col min="458" max="458" width="13.59765625" bestFit="1" customWidth="1"/>
    <col min="459" max="459" width="26.59765625" bestFit="1" customWidth="1"/>
    <col min="460" max="460" width="17.09765625" bestFit="1" customWidth="1"/>
    <col min="461" max="461" width="10.59765625" bestFit="1" customWidth="1"/>
    <col min="462" max="462" width="9" bestFit="1" customWidth="1"/>
    <col min="463" max="463" width="10.296875" bestFit="1" customWidth="1"/>
    <col min="464" max="464" width="8.09765625" bestFit="1" customWidth="1"/>
    <col min="466" max="466" width="19.3984375" bestFit="1" customWidth="1"/>
    <col min="467" max="467" width="12.796875" bestFit="1" customWidth="1"/>
    <col min="468" max="468" width="10.19921875" bestFit="1" customWidth="1"/>
    <col min="469" max="469" width="11.5" bestFit="1" customWidth="1"/>
    <col min="470" max="470" width="12.296875" bestFit="1" customWidth="1"/>
    <col min="471" max="471" width="10.59765625" bestFit="1" customWidth="1"/>
    <col min="472" max="472" width="13.3984375" bestFit="1" customWidth="1"/>
    <col min="473" max="473" width="8.69921875" bestFit="1" customWidth="1"/>
    <col min="474" max="474" width="21.796875" bestFit="1" customWidth="1"/>
    <col min="475" max="475" width="13.296875" bestFit="1" customWidth="1"/>
    <col min="476" max="476" width="14.796875" bestFit="1" customWidth="1"/>
    <col min="477" max="477" width="12.69921875" bestFit="1" customWidth="1"/>
    <col min="478" max="478" width="17.59765625" bestFit="1" customWidth="1"/>
    <col min="479" max="479" width="14.19921875" bestFit="1" customWidth="1"/>
    <col min="480" max="480" width="20.796875" bestFit="1" customWidth="1"/>
    <col min="481" max="481" width="13.796875" bestFit="1" customWidth="1"/>
    <col min="482" max="482" width="20.59765625" bestFit="1" customWidth="1"/>
    <col min="483" max="483" width="15.8984375" bestFit="1" customWidth="1"/>
    <col min="484" max="484" width="17.796875" bestFit="1" customWidth="1"/>
    <col min="485" max="485" width="13.8984375" bestFit="1" customWidth="1"/>
    <col min="486" max="486" width="15.8984375" bestFit="1" customWidth="1"/>
    <col min="487" max="487" width="24.59765625" bestFit="1" customWidth="1"/>
    <col min="488" max="488" width="11.59765625" bestFit="1" customWidth="1"/>
    <col min="489" max="489" width="12.796875" bestFit="1" customWidth="1"/>
    <col min="490" max="490" width="14.59765625" bestFit="1" customWidth="1"/>
    <col min="491" max="491" width="19.296875" bestFit="1" customWidth="1"/>
    <col min="492" max="492" width="16.796875" bestFit="1" customWidth="1"/>
    <col min="493" max="493" width="27.59765625" bestFit="1" customWidth="1"/>
    <col min="494" max="494" width="31.3984375" bestFit="1" customWidth="1"/>
    <col min="495" max="495" width="20.3984375" bestFit="1" customWidth="1"/>
    <col min="496" max="496" width="19.796875" bestFit="1" customWidth="1"/>
    <col min="497" max="497" width="11.59765625" bestFit="1" customWidth="1"/>
    <col min="498" max="498" width="13.19921875" bestFit="1" customWidth="1"/>
    <col min="499" max="499" width="14" bestFit="1" customWidth="1"/>
    <col min="500" max="500" width="26.296875" bestFit="1" customWidth="1"/>
    <col min="501" max="501" width="18.69921875" bestFit="1" customWidth="1"/>
    <col min="502" max="502" width="21.296875" bestFit="1" customWidth="1"/>
    <col min="503" max="503" width="23.796875" bestFit="1" customWidth="1"/>
    <col min="504" max="504" width="12.796875" bestFit="1" customWidth="1"/>
    <col min="505" max="505" width="17.796875" bestFit="1" customWidth="1"/>
    <col min="506" max="506" width="29.19921875" bestFit="1" customWidth="1"/>
    <col min="507" max="507" width="13.59765625" bestFit="1" customWidth="1"/>
    <col min="508" max="508" width="28.3984375" bestFit="1" customWidth="1"/>
    <col min="509" max="509" width="11.59765625" bestFit="1" customWidth="1"/>
    <col min="510" max="510" width="14.5" bestFit="1" customWidth="1"/>
    <col min="511" max="511" width="11.5" bestFit="1" customWidth="1"/>
    <col min="512" max="512" width="19.3984375" bestFit="1" customWidth="1"/>
    <col min="513" max="513" width="13.796875" bestFit="1" customWidth="1"/>
    <col min="514" max="514" width="11.09765625" bestFit="1" customWidth="1"/>
    <col min="515" max="515" width="17.296875" bestFit="1" customWidth="1"/>
    <col min="516" max="516" width="22.296875" bestFit="1" customWidth="1"/>
    <col min="517" max="517" width="14.296875" bestFit="1" customWidth="1"/>
    <col min="518" max="518" width="9.09765625" bestFit="1" customWidth="1"/>
    <col min="519" max="519" width="16.8984375" bestFit="1" customWidth="1"/>
    <col min="520" max="520" width="11.796875" bestFit="1" customWidth="1"/>
    <col min="521" max="521" width="12.09765625" bestFit="1" customWidth="1"/>
    <col min="522" max="522" width="11.59765625" bestFit="1" customWidth="1"/>
    <col min="523" max="523" width="6.796875" bestFit="1" customWidth="1"/>
    <col min="524" max="524" width="11.296875" bestFit="1" customWidth="1"/>
    <col min="525" max="525" width="10.69921875" bestFit="1" customWidth="1"/>
    <col min="526" max="526" width="9" bestFit="1" customWidth="1"/>
    <col min="527" max="527" width="9.19921875" bestFit="1" customWidth="1"/>
    <col min="528" max="528" width="27.8984375" bestFit="1" customWidth="1"/>
    <col min="529" max="529" width="22.796875" bestFit="1" customWidth="1"/>
    <col min="530" max="530" width="20.8984375" bestFit="1" customWidth="1"/>
    <col min="531" max="531" width="15" bestFit="1" customWidth="1"/>
    <col min="532" max="532" width="35.59765625" bestFit="1" customWidth="1"/>
    <col min="533" max="533" width="11.19921875" bestFit="1" customWidth="1"/>
    <col min="534" max="534" width="19.59765625" bestFit="1" customWidth="1"/>
    <col min="535" max="535" width="14.09765625" bestFit="1" customWidth="1"/>
    <col min="536" max="536" width="24.3984375" bestFit="1" customWidth="1"/>
    <col min="537" max="537" width="16.8984375" bestFit="1" customWidth="1"/>
    <col min="538" max="538" width="9.796875" bestFit="1" customWidth="1"/>
    <col min="539" max="539" width="12.19921875" bestFit="1" customWidth="1"/>
    <col min="540" max="540" width="16" bestFit="1" customWidth="1"/>
    <col min="541" max="541" width="13.5" bestFit="1" customWidth="1"/>
    <col min="542" max="542" width="16.796875" bestFit="1" customWidth="1"/>
    <col min="543" max="543" width="16" bestFit="1" customWidth="1"/>
    <col min="544" max="544" width="9.59765625" bestFit="1" customWidth="1"/>
    <col min="545" max="545" width="11.59765625" bestFit="1" customWidth="1"/>
    <col min="546" max="546" width="12" bestFit="1" customWidth="1"/>
    <col min="547" max="547" width="12.59765625" bestFit="1" customWidth="1"/>
    <col min="548" max="548" width="14.8984375" bestFit="1" customWidth="1"/>
    <col min="549" max="549" width="9.796875" bestFit="1" customWidth="1"/>
    <col min="550" max="550" width="13.3984375" bestFit="1" customWidth="1"/>
    <col min="551" max="551" width="16.09765625" bestFit="1" customWidth="1"/>
    <col min="552" max="552" width="13.59765625" bestFit="1" customWidth="1"/>
    <col min="553" max="553" width="13.296875" bestFit="1" customWidth="1"/>
    <col min="554" max="554" width="12.09765625" bestFit="1" customWidth="1"/>
    <col min="555" max="555" width="19.3984375" bestFit="1" customWidth="1"/>
    <col min="556" max="556" width="12.59765625" bestFit="1" customWidth="1"/>
    <col min="557" max="557" width="10.8984375" bestFit="1" customWidth="1"/>
    <col min="558" max="558" width="11.3984375" bestFit="1" customWidth="1"/>
    <col min="559" max="559" width="13.3984375" bestFit="1" customWidth="1"/>
    <col min="560" max="560" width="9.3984375" bestFit="1" customWidth="1"/>
    <col min="561" max="561" width="12.09765625" bestFit="1" customWidth="1"/>
    <col min="562" max="562" width="22.09765625" bestFit="1" customWidth="1"/>
    <col min="563" max="563" width="12.796875" bestFit="1" customWidth="1"/>
    <col min="564" max="564" width="17.5" bestFit="1" customWidth="1"/>
    <col min="565" max="565" width="19.5" bestFit="1" customWidth="1"/>
    <col min="566" max="566" width="14.796875" bestFit="1" customWidth="1"/>
    <col min="567" max="567" width="13.796875" bestFit="1" customWidth="1"/>
    <col min="568" max="568" width="12.8984375" bestFit="1" customWidth="1"/>
    <col min="569" max="569" width="9.8984375" bestFit="1" customWidth="1"/>
    <col min="570" max="570" width="12.796875" bestFit="1" customWidth="1"/>
    <col min="571" max="571" width="7.8984375" bestFit="1" customWidth="1"/>
    <col min="572" max="572" width="14.8984375" bestFit="1" customWidth="1"/>
    <col min="573" max="573" width="11.296875" bestFit="1" customWidth="1"/>
    <col min="574" max="574" width="20.796875" bestFit="1" customWidth="1"/>
    <col min="575" max="575" width="11.3984375" bestFit="1" customWidth="1"/>
    <col min="576" max="576" width="16.5" bestFit="1" customWidth="1"/>
    <col min="577" max="577" width="13.296875" bestFit="1" customWidth="1"/>
    <col min="578" max="578" width="15.59765625" bestFit="1" customWidth="1"/>
    <col min="579" max="579" width="14.69921875" bestFit="1" customWidth="1"/>
    <col min="580" max="580" width="18.19921875" bestFit="1" customWidth="1"/>
    <col min="581" max="581" width="15.296875" bestFit="1" customWidth="1"/>
    <col min="582" max="582" width="20.09765625" bestFit="1" customWidth="1"/>
    <col min="583" max="583" width="16.19921875" bestFit="1" customWidth="1"/>
    <col min="584" max="584" width="9.69921875" bestFit="1" customWidth="1"/>
    <col min="585" max="585" width="16.796875" bestFit="1" customWidth="1"/>
    <col min="586" max="586" width="15.5" bestFit="1" customWidth="1"/>
    <col min="587" max="587" width="6.09765625" bestFit="1" customWidth="1"/>
    <col min="588" max="588" width="11.296875" bestFit="1" customWidth="1"/>
    <col min="589" max="589" width="9.3984375" bestFit="1" customWidth="1"/>
    <col min="590" max="590" width="22.8984375" bestFit="1" customWidth="1"/>
    <col min="591" max="591" width="15.59765625" bestFit="1" customWidth="1"/>
    <col min="592" max="592" width="11.59765625" bestFit="1" customWidth="1"/>
    <col min="593" max="593" width="22.296875" bestFit="1" customWidth="1"/>
    <col min="594" max="594" width="34.3984375" bestFit="1" customWidth="1"/>
    <col min="595" max="595" width="10.59765625" bestFit="1" customWidth="1"/>
    <col min="596" max="596" width="15" bestFit="1" customWidth="1"/>
    <col min="597" max="597" width="15.19921875" bestFit="1" customWidth="1"/>
    <col min="598" max="598" width="12.796875" bestFit="1" customWidth="1"/>
    <col min="599" max="599" width="18.296875" bestFit="1" customWidth="1"/>
    <col min="600" max="600" width="16.59765625" bestFit="1" customWidth="1"/>
    <col min="601" max="601" width="11.09765625" bestFit="1" customWidth="1"/>
    <col min="602" max="602" width="13.09765625" bestFit="1" customWidth="1"/>
    <col min="603" max="603" width="18.296875" bestFit="1" customWidth="1"/>
    <col min="604" max="604" width="15.09765625" bestFit="1" customWidth="1"/>
    <col min="605" max="605" width="12.59765625" bestFit="1" customWidth="1"/>
    <col min="606" max="606" width="12.796875" bestFit="1" customWidth="1"/>
    <col min="607" max="607" width="14.09765625" bestFit="1" customWidth="1"/>
    <col min="608" max="608" width="12.09765625" bestFit="1" customWidth="1"/>
    <col min="609" max="609" width="17.59765625" bestFit="1" customWidth="1"/>
    <col min="610" max="610" width="12.3984375" bestFit="1" customWidth="1"/>
    <col min="611" max="611" width="33.59765625" bestFit="1" customWidth="1"/>
    <col min="612" max="612" width="15.09765625" bestFit="1" customWidth="1"/>
    <col min="613" max="613" width="12.5" bestFit="1" customWidth="1"/>
    <col min="614" max="614" width="13.796875" bestFit="1" customWidth="1"/>
    <col min="615" max="615" width="15.09765625" bestFit="1" customWidth="1"/>
    <col min="616" max="616" width="15" bestFit="1" customWidth="1"/>
    <col min="617" max="617" width="17.59765625" bestFit="1" customWidth="1"/>
    <col min="618" max="618" width="13.5" bestFit="1" customWidth="1"/>
    <col min="619" max="619" width="11.8984375" bestFit="1" customWidth="1"/>
    <col min="620" max="620" width="16" bestFit="1" customWidth="1"/>
    <col min="621" max="621" width="13.8984375" bestFit="1" customWidth="1"/>
    <col min="622" max="622" width="20.796875" bestFit="1" customWidth="1"/>
    <col min="623" max="623" width="10.3984375" bestFit="1" customWidth="1"/>
    <col min="624" max="624" width="13.8984375" bestFit="1" customWidth="1"/>
    <col min="625" max="625" width="24.296875" bestFit="1" customWidth="1"/>
    <col min="626" max="626" width="21.09765625" bestFit="1" customWidth="1"/>
    <col min="627" max="627" width="19.59765625" bestFit="1" customWidth="1"/>
    <col min="628" max="628" width="11.796875" bestFit="1" customWidth="1"/>
    <col min="629" max="629" width="16.796875" bestFit="1" customWidth="1"/>
    <col min="630" max="630" width="13.3984375" bestFit="1" customWidth="1"/>
    <col min="631" max="631" width="11.3984375" bestFit="1" customWidth="1"/>
    <col min="632" max="632" width="17.09765625" bestFit="1" customWidth="1"/>
    <col min="634" max="634" width="12.59765625" bestFit="1" customWidth="1"/>
    <col min="635" max="635" width="12.296875" bestFit="1" customWidth="1"/>
    <col min="636" max="636" width="19.796875" bestFit="1" customWidth="1"/>
    <col min="637" max="637" width="19.3984375" bestFit="1" customWidth="1"/>
    <col min="638" max="638" width="14.3984375" bestFit="1" customWidth="1"/>
    <col min="639" max="639" width="14.59765625" bestFit="1" customWidth="1"/>
    <col min="640" max="640" width="12.296875" bestFit="1" customWidth="1"/>
    <col min="641" max="641" width="18" bestFit="1" customWidth="1"/>
    <col min="642" max="642" width="15.8984375" bestFit="1" customWidth="1"/>
    <col min="643" max="643" width="7.796875" bestFit="1" customWidth="1"/>
    <col min="644" max="644" width="14.5" bestFit="1" customWidth="1"/>
    <col min="645" max="645" width="15.8984375" bestFit="1" customWidth="1"/>
    <col min="646" max="646" width="15.09765625" bestFit="1" customWidth="1"/>
    <col min="647" max="647" width="11.8984375" bestFit="1" customWidth="1"/>
    <col min="648" max="648" width="15.5" bestFit="1" customWidth="1"/>
    <col min="649" max="649" width="11.3984375" bestFit="1" customWidth="1"/>
    <col min="650" max="650" width="13.8984375" bestFit="1" customWidth="1"/>
    <col min="651" max="651" width="9.09765625" bestFit="1" customWidth="1"/>
    <col min="652" max="652" width="17.3984375" bestFit="1" customWidth="1"/>
    <col min="653" max="653" width="12.09765625" bestFit="1" customWidth="1"/>
    <col min="654" max="654" width="9.09765625" bestFit="1" customWidth="1"/>
    <col min="655" max="655" width="17.8984375" bestFit="1" customWidth="1"/>
    <col min="656" max="656" width="9.3984375" bestFit="1" customWidth="1"/>
    <col min="657" max="657" width="10.59765625" bestFit="1" customWidth="1"/>
    <col min="658" max="658" width="8.296875" bestFit="1" customWidth="1"/>
    <col min="659" max="659" width="16.3984375" bestFit="1" customWidth="1"/>
    <col min="660" max="660" width="12.5" bestFit="1" customWidth="1"/>
    <col min="661" max="661" width="10.09765625" bestFit="1" customWidth="1"/>
    <col min="662" max="662" width="7.59765625" bestFit="1" customWidth="1"/>
    <col min="663" max="663" width="21.8984375" bestFit="1" customWidth="1"/>
    <col min="664" max="664" width="20.59765625" bestFit="1" customWidth="1"/>
    <col min="665" max="665" width="11.59765625" bestFit="1" customWidth="1"/>
    <col min="666" max="666" width="11.19921875" bestFit="1" customWidth="1"/>
    <col min="667" max="668" width="10.3984375" bestFit="1" customWidth="1"/>
    <col min="669" max="669" width="10.59765625" bestFit="1" customWidth="1"/>
    <col min="670" max="670" width="10.19921875" bestFit="1" customWidth="1"/>
    <col min="671" max="671" width="11.09765625" bestFit="1" customWidth="1"/>
    <col min="672" max="672" width="20.8984375" bestFit="1" customWidth="1"/>
    <col min="673" max="673" width="22" bestFit="1" customWidth="1"/>
    <col min="674" max="674" width="10.8984375" bestFit="1" customWidth="1"/>
    <col min="675" max="675" width="12.09765625" bestFit="1" customWidth="1"/>
    <col min="676" max="676" width="10.19921875" bestFit="1" customWidth="1"/>
    <col min="677" max="677" width="14.296875" bestFit="1" customWidth="1"/>
    <col min="678" max="678" width="12.3984375" bestFit="1" customWidth="1"/>
    <col min="679" max="679" width="11.796875" bestFit="1" customWidth="1"/>
    <col min="680" max="680" width="9.59765625" bestFit="1" customWidth="1"/>
    <col min="681" max="681" width="15" bestFit="1" customWidth="1"/>
    <col min="682" max="682" width="10.8984375" bestFit="1" customWidth="1"/>
    <col min="683" max="683" width="13.3984375" bestFit="1" customWidth="1"/>
    <col min="684" max="684" width="10.296875" bestFit="1" customWidth="1"/>
    <col min="685" max="685" width="7.5" bestFit="1" customWidth="1"/>
    <col min="686" max="686" width="25.796875" bestFit="1" customWidth="1"/>
    <col min="687" max="687" width="11.5" bestFit="1" customWidth="1"/>
    <col min="688" max="688" width="10.09765625" bestFit="1" customWidth="1"/>
    <col min="689" max="689" width="10.296875" bestFit="1" customWidth="1"/>
    <col min="690" max="690" width="12.5" bestFit="1" customWidth="1"/>
    <col min="691" max="691" width="16.8984375" bestFit="1" customWidth="1"/>
    <col min="692" max="692" width="17.09765625" bestFit="1" customWidth="1"/>
    <col min="693" max="693" width="13.59765625" bestFit="1" customWidth="1"/>
    <col min="694" max="694" width="12.796875" bestFit="1" customWidth="1"/>
    <col min="695" max="695" width="15.59765625" bestFit="1" customWidth="1"/>
    <col min="696" max="696" width="9.796875" bestFit="1" customWidth="1"/>
    <col min="697" max="697" width="10.09765625" bestFit="1" customWidth="1"/>
    <col min="698" max="698" width="11.59765625" bestFit="1" customWidth="1"/>
    <col min="699" max="699" width="14.09765625" bestFit="1" customWidth="1"/>
    <col min="700" max="700" width="19.09765625" bestFit="1" customWidth="1"/>
    <col min="701" max="701" width="19.796875" bestFit="1" customWidth="1"/>
    <col min="702" max="702" width="10.8984375" bestFit="1" customWidth="1"/>
    <col min="703" max="703" width="14.796875" bestFit="1" customWidth="1"/>
    <col min="704" max="704" width="10.8984375" bestFit="1" customWidth="1"/>
    <col min="705" max="705" width="13.59765625" bestFit="1" customWidth="1"/>
    <col min="706" max="706" width="11.09765625" bestFit="1" customWidth="1"/>
    <col min="707" max="707" width="9.796875" bestFit="1" customWidth="1"/>
    <col min="708" max="708" width="25.8984375" bestFit="1" customWidth="1"/>
    <col min="709" max="709" width="15.09765625" bestFit="1" customWidth="1"/>
    <col min="710" max="710" width="6.59765625" bestFit="1" customWidth="1"/>
    <col min="711" max="711" width="12.296875" bestFit="1" customWidth="1"/>
    <col min="712" max="712" width="10.59765625" bestFit="1" customWidth="1"/>
    <col min="713" max="713" width="9.8984375" bestFit="1" customWidth="1"/>
    <col min="714" max="714" width="14" bestFit="1" customWidth="1"/>
    <col min="715" max="715" width="12.59765625" bestFit="1" customWidth="1"/>
    <col min="716" max="716" width="12.19921875" bestFit="1" customWidth="1"/>
    <col min="717" max="717" width="23.59765625" bestFit="1" customWidth="1"/>
    <col min="718" max="718" width="18.796875" bestFit="1" customWidth="1"/>
    <col min="719" max="719" width="6.09765625" bestFit="1" customWidth="1"/>
    <col min="720" max="720" width="6.3984375" bestFit="1" customWidth="1"/>
    <col min="721" max="721" width="18.09765625" bestFit="1" customWidth="1"/>
    <col min="722" max="722" width="7.796875" bestFit="1" customWidth="1"/>
    <col min="723" max="723" width="17.8984375" bestFit="1" customWidth="1"/>
    <col min="724" max="724" width="12.796875" bestFit="1" customWidth="1"/>
    <col min="725" max="725" width="10.296875" bestFit="1" customWidth="1"/>
    <col min="726" max="726" width="16.8984375" bestFit="1" customWidth="1"/>
    <col min="727" max="727" width="11.296875" bestFit="1" customWidth="1"/>
    <col min="728" max="729" width="18.8984375" bestFit="1" customWidth="1"/>
    <col min="730" max="730" width="11.3984375" bestFit="1" customWidth="1"/>
    <col min="731" max="731" width="15.09765625" bestFit="1" customWidth="1"/>
    <col min="732" max="732" width="12.09765625" bestFit="1" customWidth="1"/>
    <col min="733" max="733" width="14.296875" bestFit="1" customWidth="1"/>
    <col min="734" max="734" width="19.09765625" bestFit="1" customWidth="1"/>
    <col min="735" max="735" width="12.296875" bestFit="1" customWidth="1"/>
    <col min="736" max="736" width="16.59765625" bestFit="1" customWidth="1"/>
    <col min="737" max="737" width="12.796875" bestFit="1" customWidth="1"/>
    <col min="738" max="738" width="13.3984375" bestFit="1" customWidth="1"/>
    <col min="739" max="739" width="11.296875" bestFit="1" customWidth="1"/>
    <col min="740" max="740" width="11.19921875" bestFit="1" customWidth="1"/>
    <col min="741" max="741" width="14.8984375" bestFit="1" customWidth="1"/>
    <col min="742" max="742" width="25.296875" bestFit="1" customWidth="1"/>
    <col min="743" max="743" width="23.5" bestFit="1" customWidth="1"/>
    <col min="744" max="744" width="12.19921875" bestFit="1" customWidth="1"/>
    <col min="745" max="745" width="11.796875" bestFit="1" customWidth="1"/>
    <col min="746" max="746" width="21.296875" bestFit="1" customWidth="1"/>
    <col min="747" max="747" width="16.296875" bestFit="1" customWidth="1"/>
    <col min="748" max="748" width="36.5" bestFit="1" customWidth="1"/>
    <col min="749" max="749" width="21.8984375" bestFit="1" customWidth="1"/>
    <col min="750" max="750" width="27.09765625" bestFit="1" customWidth="1"/>
    <col min="751" max="751" width="12.09765625" bestFit="1" customWidth="1"/>
    <col min="752" max="752" width="15.09765625" bestFit="1" customWidth="1"/>
    <col min="753" max="753" width="11.59765625" bestFit="1" customWidth="1"/>
    <col min="754" max="754" width="15.296875" bestFit="1" customWidth="1"/>
    <col min="755" max="755" width="13.59765625" bestFit="1" customWidth="1"/>
    <col min="756" max="756" width="32.8984375" bestFit="1" customWidth="1"/>
    <col min="757" max="757" width="9.796875" bestFit="1" customWidth="1"/>
    <col min="758" max="758" width="25.296875" bestFit="1" customWidth="1"/>
    <col min="759" max="759" width="19.3984375" bestFit="1" customWidth="1"/>
    <col min="760" max="760" width="23.09765625" bestFit="1" customWidth="1"/>
    <col min="761" max="761" width="12.09765625" bestFit="1" customWidth="1"/>
    <col min="762" max="762" width="17.3984375" bestFit="1" customWidth="1"/>
    <col min="763" max="763" width="11.3984375" bestFit="1" customWidth="1"/>
    <col min="764" max="764" width="15.09765625" bestFit="1" customWidth="1"/>
    <col min="765" max="765" width="11.8984375" bestFit="1" customWidth="1"/>
    <col min="766" max="766" width="11.3984375" bestFit="1" customWidth="1"/>
    <col min="767" max="767" width="13.8984375" bestFit="1" customWidth="1"/>
    <col min="768" max="768" width="11.8984375" bestFit="1" customWidth="1"/>
    <col min="769" max="769" width="13.5" bestFit="1" customWidth="1"/>
    <col min="770" max="770" width="12" bestFit="1" customWidth="1"/>
    <col min="771" max="771" width="13" bestFit="1" customWidth="1"/>
    <col min="772" max="772" width="14.796875" bestFit="1" customWidth="1"/>
    <col min="773" max="773" width="11.796875" bestFit="1" customWidth="1"/>
    <col min="774" max="774" width="13.09765625" bestFit="1" customWidth="1"/>
    <col min="775" max="775" width="19.69921875" bestFit="1" customWidth="1"/>
    <col min="776" max="776" width="14.796875" bestFit="1" customWidth="1"/>
    <col min="777" max="777" width="16.59765625" bestFit="1" customWidth="1"/>
    <col min="778" max="778" width="12.3984375" bestFit="1" customWidth="1"/>
    <col min="779" max="779" width="22.296875" bestFit="1" customWidth="1"/>
    <col min="780" max="780" width="12.796875" bestFit="1" customWidth="1"/>
    <col min="781" max="781" width="12.69921875" bestFit="1" customWidth="1"/>
    <col min="782" max="782" width="14.69921875" bestFit="1" customWidth="1"/>
    <col min="783" max="783" width="11.3984375" bestFit="1" customWidth="1"/>
    <col min="784" max="784" width="18.59765625" bestFit="1" customWidth="1"/>
    <col min="785" max="785" width="13.3984375" bestFit="1" customWidth="1"/>
    <col min="786" max="786" width="17.796875" bestFit="1" customWidth="1"/>
    <col min="787" max="787" width="10.296875" bestFit="1" customWidth="1"/>
    <col min="788" max="788" width="25.796875" bestFit="1" customWidth="1"/>
    <col min="789" max="789" width="12.5" bestFit="1" customWidth="1"/>
    <col min="790" max="790" width="22.09765625" bestFit="1" customWidth="1"/>
    <col min="791" max="791" width="13.19921875" bestFit="1" customWidth="1"/>
    <col min="792" max="792" width="11.8984375" bestFit="1" customWidth="1"/>
    <col min="793" max="793" width="9.796875" bestFit="1" customWidth="1"/>
    <col min="794" max="794" width="14" bestFit="1" customWidth="1"/>
    <col min="795" max="795" width="11.3984375" bestFit="1" customWidth="1"/>
    <col min="796" max="796" width="17.796875" bestFit="1" customWidth="1"/>
    <col min="797" max="797" width="13.8984375" bestFit="1" customWidth="1"/>
    <col min="798" max="798" width="10.296875" bestFit="1" customWidth="1"/>
    <col min="799" max="799" width="18" bestFit="1" customWidth="1"/>
    <col min="800" max="800" width="23.796875" bestFit="1" customWidth="1"/>
    <col min="801" max="801" width="11.09765625" bestFit="1" customWidth="1"/>
    <col min="802" max="802" width="10.8984375" bestFit="1" customWidth="1"/>
    <col min="803" max="803" width="11.3984375" bestFit="1" customWidth="1"/>
    <col min="804" max="804" width="17.8984375" bestFit="1" customWidth="1"/>
    <col min="805" max="805" width="13.8984375" bestFit="1" customWidth="1"/>
    <col min="806" max="806" width="8.3984375" bestFit="1" customWidth="1"/>
    <col min="807" max="807" width="14.296875" bestFit="1" customWidth="1"/>
    <col min="808" max="808" width="11.296875" bestFit="1" customWidth="1"/>
    <col min="809" max="809" width="13.796875" bestFit="1" customWidth="1"/>
    <col min="810" max="810" width="15.59765625" bestFit="1" customWidth="1"/>
    <col min="811" max="811" width="13.796875" bestFit="1" customWidth="1"/>
    <col min="812" max="812" width="10" bestFit="1" customWidth="1"/>
    <col min="813" max="813" width="14.59765625" bestFit="1" customWidth="1"/>
    <col min="814" max="814" width="14.3984375" bestFit="1" customWidth="1"/>
    <col min="815" max="815" width="18.8984375" bestFit="1" customWidth="1"/>
    <col min="816" max="816" width="13.296875" bestFit="1" customWidth="1"/>
    <col min="817" max="817" width="22.09765625" bestFit="1" customWidth="1"/>
    <col min="818" max="818" width="12.3984375" bestFit="1" customWidth="1"/>
    <col min="819" max="819" width="11.8984375" bestFit="1" customWidth="1"/>
    <col min="820" max="820" width="15.09765625" bestFit="1" customWidth="1"/>
    <col min="821" max="821" width="21.09765625" bestFit="1" customWidth="1"/>
    <col min="822" max="822" width="11.59765625" bestFit="1" customWidth="1"/>
    <col min="823" max="823" width="9.09765625" bestFit="1" customWidth="1"/>
    <col min="824" max="824" width="12.09765625" bestFit="1" customWidth="1"/>
    <col min="825" max="825" width="18.59765625" bestFit="1" customWidth="1"/>
    <col min="826" max="826" width="23.09765625" bestFit="1" customWidth="1"/>
    <col min="827" max="827" width="24.3984375" bestFit="1" customWidth="1"/>
    <col min="828" max="828" width="19.8984375" bestFit="1" customWidth="1"/>
    <col min="829" max="829" width="27.3984375" bestFit="1" customWidth="1"/>
    <col min="830" max="830" width="13.296875" bestFit="1" customWidth="1"/>
    <col min="831" max="831" width="10.09765625" bestFit="1" customWidth="1"/>
    <col min="832" max="832" width="12.796875" bestFit="1" customWidth="1"/>
    <col min="833" max="833" width="10.59765625" bestFit="1" customWidth="1"/>
    <col min="834" max="834" width="18.09765625" bestFit="1" customWidth="1"/>
    <col min="835" max="835" width="14.59765625" bestFit="1" customWidth="1"/>
    <col min="836" max="836" width="18.796875" bestFit="1" customWidth="1"/>
    <col min="837" max="837" width="14.09765625" bestFit="1" customWidth="1"/>
    <col min="838" max="838" width="11.296875" bestFit="1" customWidth="1"/>
    <col min="839" max="839" width="9.3984375" bestFit="1" customWidth="1"/>
    <col min="840" max="840" width="10.8984375" bestFit="1" customWidth="1"/>
    <col min="841" max="841" width="13.8984375" bestFit="1" customWidth="1"/>
    <col min="842" max="842" width="9.8984375" bestFit="1" customWidth="1"/>
    <col min="843" max="843" width="7.59765625" bestFit="1" customWidth="1"/>
    <col min="844" max="844" width="10.296875" bestFit="1" customWidth="1"/>
    <col min="845" max="845" width="15.09765625" bestFit="1" customWidth="1"/>
    <col min="846" max="846" width="14.59765625" bestFit="1" customWidth="1"/>
    <col min="847" max="847" width="17.8984375" bestFit="1" customWidth="1"/>
    <col min="848" max="848" width="25.3984375" bestFit="1" customWidth="1"/>
    <col min="849" max="849" width="13.296875" bestFit="1" customWidth="1"/>
    <col min="850" max="850" width="12.796875" bestFit="1" customWidth="1"/>
    <col min="851" max="851" width="10.59765625" bestFit="1" customWidth="1"/>
    <col min="852" max="852" width="12.5" bestFit="1" customWidth="1"/>
    <col min="853" max="853" width="22.5" bestFit="1" customWidth="1"/>
    <col min="854" max="854" width="18.09765625" bestFit="1" customWidth="1"/>
    <col min="855" max="855" width="16.3984375" bestFit="1" customWidth="1"/>
    <col min="856" max="856" width="19.59765625" bestFit="1" customWidth="1"/>
    <col min="857" max="857" width="12" bestFit="1" customWidth="1"/>
    <col min="858" max="858" width="13.296875" bestFit="1" customWidth="1"/>
    <col min="859" max="859" width="10.8984375" bestFit="1" customWidth="1"/>
    <col min="860" max="860" width="10.59765625" bestFit="1" customWidth="1"/>
    <col min="861" max="861" width="23.296875" bestFit="1" customWidth="1"/>
    <col min="862" max="862" width="11.3984375" bestFit="1" customWidth="1"/>
    <col min="863" max="863" width="13.796875" bestFit="1" customWidth="1"/>
    <col min="864" max="864" width="10.09765625" bestFit="1" customWidth="1"/>
    <col min="865" max="865" width="22.796875" bestFit="1" customWidth="1"/>
    <col min="866" max="866" width="6.796875" bestFit="1" customWidth="1"/>
    <col min="867" max="867" width="19.09765625" bestFit="1" customWidth="1"/>
    <col min="868" max="868" width="15.296875" bestFit="1" customWidth="1"/>
    <col min="869" max="869" width="19.796875" bestFit="1" customWidth="1"/>
    <col min="870" max="870" width="14.796875" bestFit="1" customWidth="1"/>
    <col min="871" max="871" width="23.09765625" bestFit="1" customWidth="1"/>
    <col min="872" max="872" width="13.3984375" bestFit="1" customWidth="1"/>
    <col min="873" max="873" width="13.19921875" bestFit="1" customWidth="1"/>
    <col min="874" max="874" width="23.09765625" bestFit="1" customWidth="1"/>
    <col min="875" max="875" width="15.09765625" bestFit="1" customWidth="1"/>
    <col min="876" max="876" width="12.09765625" bestFit="1" customWidth="1"/>
    <col min="877" max="877" width="19.09765625" bestFit="1" customWidth="1"/>
    <col min="878" max="878" width="12.796875" bestFit="1" customWidth="1"/>
    <col min="879" max="879" width="11.296875" bestFit="1" customWidth="1"/>
    <col min="880" max="880" width="11.796875" bestFit="1" customWidth="1"/>
    <col min="881" max="881" width="14.59765625" bestFit="1" customWidth="1"/>
    <col min="882" max="882" width="24.3984375" bestFit="1" customWidth="1"/>
    <col min="883" max="883" width="15.8984375" bestFit="1" customWidth="1"/>
    <col min="884" max="884" width="12.09765625" bestFit="1" customWidth="1"/>
    <col min="885" max="885" width="14.59765625" bestFit="1" customWidth="1"/>
    <col min="886" max="886" width="20.3984375" bestFit="1" customWidth="1"/>
    <col min="887" max="887" width="16.796875" bestFit="1" customWidth="1"/>
    <col min="888" max="888" width="17.3984375" bestFit="1" customWidth="1"/>
    <col min="889" max="889" width="16.796875" bestFit="1" customWidth="1"/>
    <col min="890" max="890" width="18.3984375" bestFit="1" customWidth="1"/>
    <col min="891" max="891" width="16.8984375" bestFit="1" customWidth="1"/>
    <col min="892" max="892" width="10.09765625" bestFit="1" customWidth="1"/>
    <col min="893" max="893" width="14.3984375" bestFit="1" customWidth="1"/>
    <col min="894" max="894" width="23.3984375" bestFit="1" customWidth="1"/>
    <col min="895" max="895" width="14.796875" bestFit="1" customWidth="1"/>
    <col min="896" max="896" width="22.796875" bestFit="1" customWidth="1"/>
    <col min="897" max="897" width="21.59765625" bestFit="1" customWidth="1"/>
    <col min="898" max="898" width="14.8984375" bestFit="1" customWidth="1"/>
    <col min="899" max="899" width="14.59765625" bestFit="1" customWidth="1"/>
    <col min="900" max="900" width="18.8984375" bestFit="1" customWidth="1"/>
    <col min="901" max="901" width="27.3984375" bestFit="1" customWidth="1"/>
    <col min="902" max="902" width="13.59765625" bestFit="1" customWidth="1"/>
    <col min="903" max="903" width="11.3984375" bestFit="1" customWidth="1"/>
    <col min="904" max="904" width="10.09765625" bestFit="1" customWidth="1"/>
    <col min="905" max="905" width="16.69921875" bestFit="1" customWidth="1"/>
    <col min="906" max="906" width="13.3984375" bestFit="1" customWidth="1"/>
    <col min="907" max="907" width="10.796875" bestFit="1" customWidth="1"/>
    <col min="908" max="908" width="14.3984375" bestFit="1" customWidth="1"/>
    <col min="909" max="909" width="11.59765625" bestFit="1" customWidth="1"/>
    <col min="910" max="910" width="16.796875" bestFit="1" customWidth="1"/>
    <col min="911" max="911" width="18.3984375" bestFit="1" customWidth="1"/>
    <col min="912" max="912" width="12.09765625" bestFit="1" customWidth="1"/>
    <col min="913" max="913" width="17.8984375" bestFit="1" customWidth="1"/>
    <col min="914" max="914" width="15.296875" bestFit="1" customWidth="1"/>
    <col min="915" max="915" width="15.8984375" bestFit="1" customWidth="1"/>
    <col min="916" max="916" width="21.796875" bestFit="1" customWidth="1"/>
    <col min="917" max="917" width="11.296875" bestFit="1" customWidth="1"/>
    <col min="918" max="918" width="12.296875" bestFit="1" customWidth="1"/>
    <col min="919" max="919" width="15.19921875" bestFit="1" customWidth="1"/>
    <col min="920" max="920" width="13.3984375" bestFit="1" customWidth="1"/>
    <col min="921" max="921" width="11.59765625" bestFit="1" customWidth="1"/>
    <col min="922" max="922" width="12.59765625" bestFit="1" customWidth="1"/>
    <col min="923" max="923" width="13.796875" bestFit="1" customWidth="1"/>
    <col min="924" max="924" width="19.296875" bestFit="1" customWidth="1"/>
    <col min="925" max="925" width="9.796875" bestFit="1" customWidth="1"/>
    <col min="926" max="926" width="12.796875" bestFit="1" customWidth="1"/>
    <col min="927" max="927" width="10.09765625" bestFit="1" customWidth="1"/>
    <col min="928" max="928" width="19.296875" bestFit="1" customWidth="1"/>
    <col min="929" max="929" width="13.796875" bestFit="1" customWidth="1"/>
    <col min="930" max="930" width="12.5" bestFit="1" customWidth="1"/>
    <col min="931" max="931" width="18.59765625" bestFit="1" customWidth="1"/>
    <col min="932" max="932" width="11.8984375" bestFit="1" customWidth="1"/>
    <col min="933" max="933" width="13.59765625" bestFit="1" customWidth="1"/>
    <col min="934" max="934" width="26.59765625" bestFit="1" customWidth="1"/>
    <col min="935" max="935" width="17.09765625" bestFit="1" customWidth="1"/>
    <col min="936" max="936" width="10.59765625" bestFit="1" customWidth="1"/>
    <col min="937" max="937" width="9" bestFit="1" customWidth="1"/>
    <col min="938" max="938" width="10.296875" bestFit="1" customWidth="1"/>
    <col min="939" max="939" width="8.09765625" bestFit="1" customWidth="1"/>
    <col min="941" max="941" width="19.3984375" bestFit="1" customWidth="1"/>
    <col min="942" max="942" width="12.796875" bestFit="1" customWidth="1"/>
    <col min="943" max="943" width="10.19921875" bestFit="1" customWidth="1"/>
    <col min="944" max="944" width="11.5" bestFit="1" customWidth="1"/>
    <col min="945" max="945" width="12.296875" bestFit="1" customWidth="1"/>
    <col min="946" max="946" width="10.59765625" bestFit="1" customWidth="1"/>
    <col min="947" max="947" width="13.3984375" bestFit="1" customWidth="1"/>
    <col min="948" max="948" width="8.69921875" bestFit="1" customWidth="1"/>
    <col min="949" max="949" width="21.796875" bestFit="1" customWidth="1"/>
    <col min="950" max="950" width="13.296875" bestFit="1" customWidth="1"/>
    <col min="951" max="951" width="14.796875" bestFit="1" customWidth="1"/>
    <col min="952" max="952" width="12.69921875" bestFit="1" customWidth="1"/>
    <col min="953" max="953" width="21.5" bestFit="1" customWidth="1"/>
    <col min="954" max="954" width="22.5" bestFit="1" customWidth="1"/>
  </cols>
  <sheetData>
    <row r="2" spans="1:6" x14ac:dyDescent="0.3">
      <c r="A2" s="41" t="s">
        <v>1827</v>
      </c>
    </row>
    <row r="4" spans="1:6" x14ac:dyDescent="0.3">
      <c r="A4" s="36" t="s">
        <v>1811</v>
      </c>
      <c r="B4" s="36" t="s">
        <v>1810</v>
      </c>
      <c r="C4" s="36" t="s">
        <v>1812</v>
      </c>
      <c r="E4" s="36" t="s">
        <v>1808</v>
      </c>
      <c r="F4" s="36" t="s">
        <v>1810</v>
      </c>
    </row>
    <row r="5" spans="1:6" x14ac:dyDescent="0.3">
      <c r="A5" s="29">
        <v>475</v>
      </c>
      <c r="B5" s="32">
        <v>7040400</v>
      </c>
      <c r="C5" s="32">
        <v>14821.894736842105</v>
      </c>
      <c r="E5" s="28" t="s">
        <v>22</v>
      </c>
      <c r="F5" s="32">
        <v>211000</v>
      </c>
    </row>
    <row r="6" spans="1:6" x14ac:dyDescent="0.3">
      <c r="E6" s="28" t="s">
        <v>31</v>
      </c>
      <c r="F6" s="32">
        <v>180000</v>
      </c>
    </row>
    <row r="7" spans="1:6" x14ac:dyDescent="0.3">
      <c r="A7" s="36" t="s">
        <v>1808</v>
      </c>
      <c r="B7" s="36" t="s">
        <v>1811</v>
      </c>
      <c r="E7" s="28" t="s">
        <v>39</v>
      </c>
      <c r="F7" s="32">
        <v>114000</v>
      </c>
    </row>
    <row r="8" spans="1:6" x14ac:dyDescent="0.3">
      <c r="A8" s="28" t="s">
        <v>1804</v>
      </c>
      <c r="B8" s="29">
        <v>68</v>
      </c>
      <c r="E8" s="28" t="s">
        <v>44</v>
      </c>
      <c r="F8" s="32">
        <v>107000</v>
      </c>
    </row>
    <row r="9" spans="1:6" x14ac:dyDescent="0.3">
      <c r="A9" s="28" t="s">
        <v>1803</v>
      </c>
      <c r="B9" s="29">
        <v>407</v>
      </c>
      <c r="E9" s="28" t="s">
        <v>50</v>
      </c>
      <c r="F9" s="32">
        <v>106000</v>
      </c>
    </row>
    <row r="10" spans="1:6" x14ac:dyDescent="0.3">
      <c r="A10" s="37" t="s">
        <v>1809</v>
      </c>
      <c r="B10" s="38">
        <v>475</v>
      </c>
      <c r="E10" s="28" t="s">
        <v>55</v>
      </c>
      <c r="F10" s="32">
        <v>104000</v>
      </c>
    </row>
    <row r="11" spans="1:6" x14ac:dyDescent="0.3">
      <c r="E11" s="28" t="s">
        <v>60</v>
      </c>
      <c r="F11" s="32">
        <v>94500</v>
      </c>
    </row>
    <row r="12" spans="1:6" x14ac:dyDescent="0.3">
      <c r="A12" s="36" t="s">
        <v>1808</v>
      </c>
      <c r="B12" s="36" t="s">
        <v>1810</v>
      </c>
      <c r="E12" s="28" t="s">
        <v>66</v>
      </c>
      <c r="F12" s="32">
        <v>93000</v>
      </c>
    </row>
    <row r="13" spans="1:6" x14ac:dyDescent="0.3">
      <c r="A13" s="28" t="s">
        <v>38</v>
      </c>
      <c r="B13" s="32">
        <v>1299800</v>
      </c>
      <c r="E13" s="28" t="s">
        <v>73</v>
      </c>
      <c r="F13" s="32">
        <v>83400</v>
      </c>
    </row>
    <row r="14" spans="1:6" x14ac:dyDescent="0.3">
      <c r="A14" s="28" t="s">
        <v>21</v>
      </c>
      <c r="B14" s="32">
        <v>1160200</v>
      </c>
      <c r="E14" s="28" t="s">
        <v>79</v>
      </c>
      <c r="F14" s="32">
        <v>80700</v>
      </c>
    </row>
    <row r="15" spans="1:6" x14ac:dyDescent="0.3">
      <c r="A15" s="28" t="s">
        <v>49</v>
      </c>
      <c r="B15" s="32">
        <v>882000</v>
      </c>
      <c r="E15" s="37" t="s">
        <v>1809</v>
      </c>
      <c r="F15" s="39">
        <v>1173600</v>
      </c>
    </row>
    <row r="16" spans="1:6" x14ac:dyDescent="0.3">
      <c r="A16" s="28" t="s">
        <v>103</v>
      </c>
      <c r="B16" s="32">
        <v>567800</v>
      </c>
    </row>
    <row r="17" spans="1:6" x14ac:dyDescent="0.3">
      <c r="A17" s="28" t="s">
        <v>72</v>
      </c>
      <c r="B17" s="32">
        <v>492400</v>
      </c>
      <c r="E17" s="36" t="s">
        <v>1808</v>
      </c>
      <c r="F17" s="36" t="s">
        <v>1811</v>
      </c>
    </row>
    <row r="18" spans="1:6" x14ac:dyDescent="0.3">
      <c r="A18" s="28" t="s">
        <v>250</v>
      </c>
      <c r="B18" s="32">
        <v>423400</v>
      </c>
      <c r="E18" s="34" t="s">
        <v>1816</v>
      </c>
      <c r="F18" s="29">
        <v>166</v>
      </c>
    </row>
    <row r="19" spans="1:6" x14ac:dyDescent="0.3">
      <c r="A19" s="37" t="s">
        <v>1809</v>
      </c>
      <c r="B19" s="39">
        <v>4825600</v>
      </c>
      <c r="E19" s="34" t="s">
        <v>1815</v>
      </c>
      <c r="F19" s="29">
        <v>309</v>
      </c>
    </row>
    <row r="20" spans="1:6" x14ac:dyDescent="0.3">
      <c r="E20" s="40" t="s">
        <v>1809</v>
      </c>
      <c r="F20" s="38">
        <v>475</v>
      </c>
    </row>
    <row r="21" spans="1:6" x14ac:dyDescent="0.3">
      <c r="A21" s="36" t="s">
        <v>1808</v>
      </c>
      <c r="B21" s="36" t="s">
        <v>1810</v>
      </c>
    </row>
    <row r="22" spans="1:6" x14ac:dyDescent="0.3">
      <c r="A22" s="28" t="s">
        <v>32</v>
      </c>
      <c r="B22" s="32">
        <v>3145000</v>
      </c>
    </row>
    <row r="23" spans="1:6" x14ac:dyDescent="0.3">
      <c r="A23" s="28" t="s">
        <v>105</v>
      </c>
      <c r="B23" s="32">
        <v>901700</v>
      </c>
    </row>
    <row r="24" spans="1:6" x14ac:dyDescent="0.3">
      <c r="A24" s="28" t="s">
        <v>23</v>
      </c>
      <c r="B24" s="32">
        <v>451600</v>
      </c>
    </row>
    <row r="25" spans="1:6" x14ac:dyDescent="0.3">
      <c r="A25" s="28" t="s">
        <v>74</v>
      </c>
      <c r="B25" s="32">
        <v>333200</v>
      </c>
    </row>
    <row r="26" spans="1:6" x14ac:dyDescent="0.3">
      <c r="A26" s="28" t="s">
        <v>158</v>
      </c>
      <c r="B26" s="32">
        <v>256200</v>
      </c>
    </row>
    <row r="27" spans="1:6" x14ac:dyDescent="0.3">
      <c r="A27" s="37" t="s">
        <v>1809</v>
      </c>
      <c r="B27" s="39">
        <v>5087700</v>
      </c>
    </row>
  </sheetData>
  <pageMargins left="0.7" right="0.7" top="0.75" bottom="0.75" header="0.3" footer="0.3"/>
  <pageSetup paperSize="9" orientation="portrait" verticalDpi="300" r:id="rId7"/>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76"/>
  <sheetViews>
    <sheetView zoomScale="96" zoomScaleNormal="96" zoomScaleSheetLayoutView="100" workbookViewId="0">
      <selection activeCell="P14" sqref="P14"/>
    </sheetView>
  </sheetViews>
  <sheetFormatPr defaultColWidth="10.69921875" defaultRowHeight="15.6" x14ac:dyDescent="0.3"/>
  <cols>
    <col min="1" max="1" width="6.3984375" customWidth="1"/>
    <col min="2" max="2" width="22.59765625" customWidth="1"/>
    <col min="3" max="3" width="25.5" customWidth="1"/>
    <col min="4" max="4" width="13.09765625" customWidth="1"/>
    <col min="5" max="5" width="14.3984375" customWidth="1"/>
    <col min="6" max="6" width="24.09765625" customWidth="1"/>
    <col min="7" max="7" width="20.09765625" customWidth="1"/>
    <col min="8" max="8" width="11" customWidth="1"/>
    <col min="11" max="11" width="10.8984375" hidden="1" customWidth="1"/>
    <col min="12" max="12" width="11.69921875" style="32" customWidth="1"/>
    <col min="13" max="13" width="21.59765625" customWidth="1"/>
    <col min="14" max="14" width="11" customWidth="1"/>
    <col min="15" max="15" width="12.3984375" customWidth="1"/>
    <col min="16" max="16" width="11" customWidth="1"/>
    <col min="17" max="17" width="12.69921875" customWidth="1"/>
    <col min="19" max="19" width="23.296875" customWidth="1"/>
    <col min="20" max="20" width="28.19921875" customWidth="1"/>
    <col min="21" max="21" width="22" customWidth="1"/>
    <col min="22" max="22" width="19.3984375" customWidth="1"/>
    <col min="23" max="23" width="12.59765625" bestFit="1" customWidth="1"/>
    <col min="24" max="24" width="13.19921875" customWidth="1"/>
    <col min="25" max="25" width="11.8984375" customWidth="1"/>
  </cols>
  <sheetData>
    <row r="1" spans="1:24" s="2" customFormat="1" x14ac:dyDescent="0.3">
      <c r="A1" s="2" t="s">
        <v>1819</v>
      </c>
      <c r="B1" s="2" t="s">
        <v>1820</v>
      </c>
      <c r="C1" s="2" t="s">
        <v>1817</v>
      </c>
      <c r="D1" s="2" t="s">
        <v>1818</v>
      </c>
      <c r="E1" s="2" t="s">
        <v>1821</v>
      </c>
      <c r="F1" s="2" t="s">
        <v>1822</v>
      </c>
      <c r="G1" s="2" t="s">
        <v>1823</v>
      </c>
      <c r="H1" s="2" t="s">
        <v>1815</v>
      </c>
      <c r="I1" s="2" t="s">
        <v>1824</v>
      </c>
      <c r="J1" s="2" t="s">
        <v>1805</v>
      </c>
      <c r="K1" s="2" t="s">
        <v>11</v>
      </c>
      <c r="L1" s="35" t="s">
        <v>1825</v>
      </c>
      <c r="M1" s="26" t="s">
        <v>1826</v>
      </c>
      <c r="N1" s="2" t="s">
        <v>12</v>
      </c>
      <c r="O1" s="2" t="s">
        <v>13</v>
      </c>
      <c r="P1" s="2" t="s">
        <v>14</v>
      </c>
      <c r="Q1" s="2" t="s">
        <v>15</v>
      </c>
      <c r="R1" s="2" t="s">
        <v>17</v>
      </c>
      <c r="S1" s="2" t="s">
        <v>18</v>
      </c>
      <c r="T1" s="2" t="s">
        <v>19</v>
      </c>
      <c r="U1" s="2" t="s">
        <v>20</v>
      </c>
      <c r="V1" s="2" t="s">
        <v>1814</v>
      </c>
      <c r="W1" s="2" t="s">
        <v>1807</v>
      </c>
      <c r="X1" s="2" t="s">
        <v>1806</v>
      </c>
    </row>
    <row r="2" spans="1:24" x14ac:dyDescent="0.3">
      <c r="A2">
        <v>1</v>
      </c>
      <c r="B2" t="s">
        <v>21</v>
      </c>
      <c r="C2" t="s">
        <v>22</v>
      </c>
      <c r="D2" t="s">
        <v>23</v>
      </c>
      <c r="E2" t="s">
        <v>24</v>
      </c>
      <c r="F2" t="s">
        <v>25</v>
      </c>
      <c r="G2" t="s">
        <v>21</v>
      </c>
      <c r="H2" t="b">
        <v>0</v>
      </c>
      <c r="I2" t="s">
        <v>1803</v>
      </c>
      <c r="J2" s="30">
        <f ca="1">YEARFRAC(W2,X2,1)</f>
        <v>77.578363578925206</v>
      </c>
      <c r="K2" t="s">
        <v>28</v>
      </c>
      <c r="L2" s="32">
        <v>211000</v>
      </c>
      <c r="M2" s="27">
        <v>2715518274227</v>
      </c>
      <c r="N2">
        <v>1949</v>
      </c>
      <c r="O2">
        <v>3</v>
      </c>
      <c r="P2">
        <v>5</v>
      </c>
      <c r="Q2">
        <v>110.05</v>
      </c>
      <c r="R2">
        <v>82.5</v>
      </c>
      <c r="S2">
        <v>24.2</v>
      </c>
      <c r="T2">
        <v>60.7</v>
      </c>
      <c r="U2">
        <v>67059887</v>
      </c>
      <c r="V2" s="30"/>
      <c r="W2" s="25">
        <f ca="1">TODAY()</f>
        <v>46297</v>
      </c>
      <c r="X2" s="25">
        <f>DATE(N2,O2,P2)</f>
        <v>17962</v>
      </c>
    </row>
    <row r="3" spans="1:24" x14ac:dyDescent="0.3">
      <c r="A3">
        <v>2</v>
      </c>
      <c r="B3" t="s">
        <v>30</v>
      </c>
      <c r="C3" t="s">
        <v>31</v>
      </c>
      <c r="D3" t="s">
        <v>32</v>
      </c>
      <c r="E3" t="s">
        <v>33</v>
      </c>
      <c r="F3" t="s">
        <v>34</v>
      </c>
      <c r="G3" t="s">
        <v>30</v>
      </c>
      <c r="H3" t="b">
        <v>1</v>
      </c>
      <c r="I3" t="s">
        <v>1803</v>
      </c>
      <c r="J3" s="30">
        <f ca="1">YEARFRAC(W3,X3,1)</f>
        <v>55.263518138261468</v>
      </c>
      <c r="K3" t="s">
        <v>36</v>
      </c>
      <c r="L3" s="32">
        <v>180000</v>
      </c>
      <c r="M3" s="27">
        <v>21427700000000</v>
      </c>
      <c r="N3">
        <v>1971</v>
      </c>
      <c r="O3">
        <v>6</v>
      </c>
      <c r="P3">
        <v>28</v>
      </c>
      <c r="Q3">
        <v>117.24</v>
      </c>
      <c r="R3">
        <v>78.5</v>
      </c>
      <c r="S3">
        <v>9.6</v>
      </c>
      <c r="T3">
        <v>36.6</v>
      </c>
      <c r="U3">
        <v>328239523</v>
      </c>
      <c r="V3" s="30"/>
      <c r="W3" s="25">
        <f ca="1">TODAY()</f>
        <v>46297</v>
      </c>
      <c r="X3" s="25">
        <f>DATE(N3,O3,P3)</f>
        <v>26112</v>
      </c>
    </row>
    <row r="4" spans="1:24" x14ac:dyDescent="0.3">
      <c r="A4">
        <v>3</v>
      </c>
      <c r="B4" t="s">
        <v>38</v>
      </c>
      <c r="C4" t="s">
        <v>39</v>
      </c>
      <c r="D4" t="s">
        <v>32</v>
      </c>
      <c r="E4" t="s">
        <v>40</v>
      </c>
      <c r="F4" t="s">
        <v>41</v>
      </c>
      <c r="G4" t="s">
        <v>38</v>
      </c>
      <c r="H4" t="b">
        <v>1</v>
      </c>
      <c r="I4" t="s">
        <v>1803</v>
      </c>
      <c r="J4" s="30">
        <f ca="1">YEARFRAC(W4,X4,1)</f>
        <v>62.720742253704749</v>
      </c>
      <c r="K4" t="s">
        <v>43</v>
      </c>
      <c r="L4" s="32">
        <v>114000</v>
      </c>
      <c r="M4" s="27">
        <v>21427700000000</v>
      </c>
      <c r="N4">
        <v>1964</v>
      </c>
      <c r="O4">
        <v>1</v>
      </c>
      <c r="P4">
        <v>12</v>
      </c>
      <c r="Q4">
        <v>117.24</v>
      </c>
      <c r="R4">
        <v>78.5</v>
      </c>
      <c r="S4">
        <v>9.6</v>
      </c>
      <c r="T4">
        <v>36.6</v>
      </c>
      <c r="U4">
        <v>328239523</v>
      </c>
      <c r="V4" s="30"/>
      <c r="W4" s="25">
        <f ca="1">TODAY()</f>
        <v>46297</v>
      </c>
      <c r="X4" s="25">
        <f>DATE(N4,O4,P4)</f>
        <v>23388</v>
      </c>
    </row>
    <row r="5" spans="1:24" x14ac:dyDescent="0.3">
      <c r="A5">
        <v>4</v>
      </c>
      <c r="B5" t="s">
        <v>38</v>
      </c>
      <c r="C5" t="s">
        <v>44</v>
      </c>
      <c r="D5" t="s">
        <v>32</v>
      </c>
      <c r="E5" t="s">
        <v>45</v>
      </c>
      <c r="F5" t="s">
        <v>46</v>
      </c>
      <c r="G5" t="s">
        <v>38</v>
      </c>
      <c r="H5" t="b">
        <v>1</v>
      </c>
      <c r="I5" t="s">
        <v>1803</v>
      </c>
      <c r="J5" s="30">
        <f ca="1">YEARFRAC(W5,X5,1)</f>
        <v>82.123894972951575</v>
      </c>
      <c r="K5" t="s">
        <v>48</v>
      </c>
      <c r="L5" s="32">
        <v>107000</v>
      </c>
      <c r="M5" s="27">
        <v>21427700000000</v>
      </c>
      <c r="N5">
        <v>1944</v>
      </c>
      <c r="O5">
        <v>8</v>
      </c>
      <c r="P5">
        <v>17</v>
      </c>
      <c r="Q5">
        <v>117.24</v>
      </c>
      <c r="R5">
        <v>78.5</v>
      </c>
      <c r="S5">
        <v>9.6</v>
      </c>
      <c r="T5">
        <v>36.6</v>
      </c>
      <c r="U5">
        <v>328239523</v>
      </c>
      <c r="V5" s="30"/>
      <c r="W5" s="25">
        <f ca="1">TODAY()</f>
        <v>46297</v>
      </c>
      <c r="X5" s="25">
        <f>DATE(N5,O5,P5)</f>
        <v>16301</v>
      </c>
    </row>
    <row r="6" spans="1:24" x14ac:dyDescent="0.3">
      <c r="A6">
        <v>5</v>
      </c>
      <c r="B6" t="s">
        <v>49</v>
      </c>
      <c r="C6" t="s">
        <v>50</v>
      </c>
      <c r="D6" t="s">
        <v>32</v>
      </c>
      <c r="E6" t="s">
        <v>51</v>
      </c>
      <c r="F6" t="s">
        <v>52</v>
      </c>
      <c r="G6" t="s">
        <v>49</v>
      </c>
      <c r="H6" t="b">
        <v>1</v>
      </c>
      <c r="I6" t="s">
        <v>1803</v>
      </c>
      <c r="J6" s="30">
        <f ca="1">YEARFRAC(W6,X6,1)</f>
        <v>96.091027124671868</v>
      </c>
      <c r="K6" t="s">
        <v>54</v>
      </c>
      <c r="L6" s="32">
        <v>106000</v>
      </c>
      <c r="M6" s="27">
        <v>21427700000000</v>
      </c>
      <c r="N6">
        <v>1930</v>
      </c>
      <c r="O6">
        <v>8</v>
      </c>
      <c r="P6">
        <v>30</v>
      </c>
      <c r="Q6">
        <v>117.24</v>
      </c>
      <c r="R6">
        <v>78.5</v>
      </c>
      <c r="S6">
        <v>9.6</v>
      </c>
      <c r="T6">
        <v>36.6</v>
      </c>
      <c r="U6">
        <v>328239523</v>
      </c>
      <c r="V6" s="30"/>
      <c r="W6" s="25">
        <f ca="1">TODAY()</f>
        <v>46297</v>
      </c>
      <c r="X6" s="25">
        <f>DATE(N6,O6,P6)</f>
        <v>11200</v>
      </c>
    </row>
    <row r="7" spans="1:24" x14ac:dyDescent="0.3">
      <c r="A7">
        <v>6</v>
      </c>
      <c r="B7" t="s">
        <v>38</v>
      </c>
      <c r="C7" t="s">
        <v>55</v>
      </c>
      <c r="D7" t="s">
        <v>32</v>
      </c>
      <c r="E7" t="s">
        <v>40</v>
      </c>
      <c r="F7" t="s">
        <v>56</v>
      </c>
      <c r="G7" t="s">
        <v>38</v>
      </c>
      <c r="H7" t="b">
        <v>1</v>
      </c>
      <c r="I7" t="s">
        <v>1803</v>
      </c>
      <c r="J7" s="30">
        <f ca="1">YEARFRAC(W7,X7,1)</f>
        <v>70.92950034223135</v>
      </c>
      <c r="K7" t="s">
        <v>58</v>
      </c>
      <c r="L7" s="32">
        <v>104000</v>
      </c>
      <c r="M7" s="27">
        <v>21427700000000</v>
      </c>
      <c r="N7">
        <v>1955</v>
      </c>
      <c r="O7">
        <v>10</v>
      </c>
      <c r="P7">
        <v>28</v>
      </c>
      <c r="Q7">
        <v>117.24</v>
      </c>
      <c r="R7">
        <v>78.5</v>
      </c>
      <c r="S7">
        <v>9.6</v>
      </c>
      <c r="T7">
        <v>36.6</v>
      </c>
      <c r="U7">
        <v>328239523</v>
      </c>
      <c r="V7" s="30"/>
      <c r="W7" s="25">
        <f ca="1">TODAY()</f>
        <v>46297</v>
      </c>
      <c r="X7" s="25">
        <f>DATE(N7,O7,P7)</f>
        <v>20390</v>
      </c>
    </row>
    <row r="8" spans="1:24" x14ac:dyDescent="0.3">
      <c r="A8">
        <v>7</v>
      </c>
      <c r="B8" t="s">
        <v>59</v>
      </c>
      <c r="C8" t="s">
        <v>60</v>
      </c>
      <c r="D8" t="s">
        <v>32</v>
      </c>
      <c r="E8" t="s">
        <v>61</v>
      </c>
      <c r="F8" t="s">
        <v>62</v>
      </c>
      <c r="G8" t="s">
        <v>59</v>
      </c>
      <c r="H8" t="b">
        <v>1</v>
      </c>
      <c r="I8" t="s">
        <v>1803</v>
      </c>
      <c r="J8" s="30">
        <f ca="1">YEARFRAC(W8,X8,1)</f>
        <v>84.630387167428978</v>
      </c>
      <c r="K8" t="s">
        <v>64</v>
      </c>
      <c r="L8" s="32">
        <v>94500</v>
      </c>
      <c r="M8" s="27">
        <v>21427700000000</v>
      </c>
      <c r="N8">
        <v>1942</v>
      </c>
      <c r="O8">
        <v>2</v>
      </c>
      <c r="P8">
        <v>14</v>
      </c>
      <c r="Q8">
        <v>117.24</v>
      </c>
      <c r="R8">
        <v>78.5</v>
      </c>
      <c r="S8">
        <v>9.6</v>
      </c>
      <c r="T8">
        <v>36.6</v>
      </c>
      <c r="U8">
        <v>328239523</v>
      </c>
      <c r="V8" s="30"/>
      <c r="W8" s="25">
        <f ca="1">TODAY()</f>
        <v>46297</v>
      </c>
      <c r="X8" s="25">
        <f>DATE(N8,O8,P8)</f>
        <v>15386</v>
      </c>
    </row>
    <row r="9" spans="1:24" x14ac:dyDescent="0.3">
      <c r="A9">
        <v>8</v>
      </c>
      <c r="B9" t="s">
        <v>65</v>
      </c>
      <c r="C9" t="s">
        <v>66</v>
      </c>
      <c r="D9" t="s">
        <v>67</v>
      </c>
      <c r="E9" t="s">
        <v>68</v>
      </c>
      <c r="F9" t="s">
        <v>65</v>
      </c>
      <c r="G9" t="s">
        <v>65</v>
      </c>
      <c r="H9" t="b">
        <v>1</v>
      </c>
      <c r="I9" t="s">
        <v>1803</v>
      </c>
      <c r="J9" s="30">
        <f ca="1">YEARFRAC(W9,X9,1)</f>
        <v>86.676936148786865</v>
      </c>
      <c r="K9" t="s">
        <v>70</v>
      </c>
      <c r="L9" s="32">
        <v>93000</v>
      </c>
      <c r="M9" s="27">
        <v>1258286717125</v>
      </c>
      <c r="N9">
        <v>1940</v>
      </c>
      <c r="O9">
        <v>1</v>
      </c>
      <c r="P9">
        <v>28</v>
      </c>
      <c r="Q9">
        <v>141.54</v>
      </c>
      <c r="R9">
        <v>75</v>
      </c>
      <c r="S9">
        <v>13.1</v>
      </c>
      <c r="T9">
        <v>55.1</v>
      </c>
      <c r="U9">
        <v>126014024</v>
      </c>
      <c r="V9" s="30"/>
      <c r="W9" s="25">
        <f ca="1">TODAY()</f>
        <v>46297</v>
      </c>
      <c r="X9" s="25">
        <f>DATE(N9,O9,P9)</f>
        <v>14638</v>
      </c>
    </row>
    <row r="10" spans="1:24" x14ac:dyDescent="0.3">
      <c r="A10">
        <v>9</v>
      </c>
      <c r="B10" t="s">
        <v>72</v>
      </c>
      <c r="C10" t="s">
        <v>73</v>
      </c>
      <c r="D10" t="s">
        <v>74</v>
      </c>
      <c r="E10" t="s">
        <v>75</v>
      </c>
      <c r="F10" t="s">
        <v>72</v>
      </c>
      <c r="G10" t="s">
        <v>72</v>
      </c>
      <c r="H10" t="b">
        <v>0</v>
      </c>
      <c r="I10" t="s">
        <v>1803</v>
      </c>
      <c r="J10" s="30">
        <f ca="1">YEARFRAC(W10,X10,1)</f>
        <v>69.455157038369777</v>
      </c>
      <c r="K10" t="s">
        <v>77</v>
      </c>
      <c r="L10" s="32">
        <v>83400</v>
      </c>
      <c r="M10" s="27">
        <v>2611000000000</v>
      </c>
      <c r="N10">
        <v>1957</v>
      </c>
      <c r="O10">
        <v>4</v>
      </c>
      <c r="P10">
        <v>19</v>
      </c>
      <c r="Q10">
        <v>180.44</v>
      </c>
      <c r="R10">
        <v>69.400000000000006</v>
      </c>
      <c r="S10">
        <v>11.2</v>
      </c>
      <c r="T10">
        <v>49.7</v>
      </c>
      <c r="U10">
        <v>1366417754</v>
      </c>
      <c r="V10" s="30"/>
      <c r="W10" s="25">
        <f ca="1">TODAY()</f>
        <v>46297</v>
      </c>
      <c r="X10" s="25">
        <f>DATE(N10,O10,P10)</f>
        <v>20929</v>
      </c>
    </row>
    <row r="11" spans="1:24" x14ac:dyDescent="0.3">
      <c r="A11">
        <v>10</v>
      </c>
      <c r="B11" t="s">
        <v>38</v>
      </c>
      <c r="C11" t="s">
        <v>79</v>
      </c>
      <c r="D11" t="s">
        <v>32</v>
      </c>
      <c r="E11" t="s">
        <v>80</v>
      </c>
      <c r="F11" t="s">
        <v>56</v>
      </c>
      <c r="G11" t="s">
        <v>38</v>
      </c>
      <c r="H11" t="b">
        <v>1</v>
      </c>
      <c r="I11" t="s">
        <v>1803</v>
      </c>
      <c r="J11" s="30">
        <f ca="1">YEARFRAC(W11,X11,1)</f>
        <v>70.523618555508421</v>
      </c>
      <c r="K11" t="s">
        <v>82</v>
      </c>
      <c r="L11" s="32">
        <v>80700</v>
      </c>
      <c r="M11" s="27">
        <v>21427700000000</v>
      </c>
      <c r="N11">
        <v>1956</v>
      </c>
      <c r="O11">
        <v>3</v>
      </c>
      <c r="P11">
        <v>24</v>
      </c>
      <c r="Q11">
        <v>117.24</v>
      </c>
      <c r="R11">
        <v>78.5</v>
      </c>
      <c r="S11">
        <v>9.6</v>
      </c>
      <c r="T11">
        <v>36.6</v>
      </c>
      <c r="U11">
        <v>328239523</v>
      </c>
      <c r="V11" s="30"/>
      <c r="W11" s="25">
        <f ca="1">TODAY()</f>
        <v>46297</v>
      </c>
      <c r="X11" s="25">
        <f>DATE(N11,O11,P11)</f>
        <v>20538</v>
      </c>
    </row>
    <row r="12" spans="1:24" x14ac:dyDescent="0.3">
      <c r="A12">
        <v>11</v>
      </c>
      <c r="B12" t="s">
        <v>21</v>
      </c>
      <c r="C12" t="s">
        <v>83</v>
      </c>
      <c r="D12" t="s">
        <v>23</v>
      </c>
      <c r="E12" t="s">
        <v>24</v>
      </c>
      <c r="F12" t="s">
        <v>84</v>
      </c>
      <c r="G12" t="s">
        <v>21</v>
      </c>
      <c r="H12" t="b">
        <v>0</v>
      </c>
      <c r="I12" t="s">
        <v>1804</v>
      </c>
      <c r="J12" s="30">
        <f ca="1">YEARFRAC(W12,X12,1)</f>
        <v>73.230649696610925</v>
      </c>
      <c r="K12" t="s">
        <v>87</v>
      </c>
      <c r="L12" s="32">
        <v>80500</v>
      </c>
      <c r="M12" s="27">
        <v>2715518274227</v>
      </c>
      <c r="N12">
        <v>1953</v>
      </c>
      <c r="O12">
        <v>7</v>
      </c>
      <c r="P12">
        <v>10</v>
      </c>
      <c r="Q12">
        <v>110.05</v>
      </c>
      <c r="R12">
        <v>82.5</v>
      </c>
      <c r="S12">
        <v>24.2</v>
      </c>
      <c r="T12">
        <v>60.7</v>
      </c>
      <c r="U12">
        <v>67059887</v>
      </c>
      <c r="V12" s="30"/>
      <c r="W12" s="25">
        <f ca="1">TODAY()</f>
        <v>46297</v>
      </c>
      <c r="X12" s="25">
        <f>DATE(N12,O12,P12)</f>
        <v>19550</v>
      </c>
    </row>
    <row r="13" spans="1:24" x14ac:dyDescent="0.3">
      <c r="A13">
        <v>12</v>
      </c>
      <c r="B13" t="s">
        <v>38</v>
      </c>
      <c r="C13" t="s">
        <v>88</v>
      </c>
      <c r="D13" t="s">
        <v>32</v>
      </c>
      <c r="E13" t="s">
        <v>89</v>
      </c>
      <c r="F13" t="s">
        <v>90</v>
      </c>
      <c r="G13" t="s">
        <v>38</v>
      </c>
      <c r="H13" t="b">
        <v>1</v>
      </c>
      <c r="I13" t="s">
        <v>1803</v>
      </c>
      <c r="J13" s="30">
        <f ca="1">YEARFRAC(W13,X13,1)</f>
        <v>53.5208639659281</v>
      </c>
      <c r="K13" t="s">
        <v>48</v>
      </c>
      <c r="L13" s="32">
        <v>79200</v>
      </c>
      <c r="M13" s="27">
        <v>21427700000000</v>
      </c>
      <c r="N13">
        <v>1973</v>
      </c>
      <c r="O13">
        <v>3</v>
      </c>
      <c r="P13">
        <v>26</v>
      </c>
      <c r="Q13">
        <v>117.24</v>
      </c>
      <c r="R13">
        <v>78.5</v>
      </c>
      <c r="S13">
        <v>9.6</v>
      </c>
      <c r="T13">
        <v>36.6</v>
      </c>
      <c r="U13">
        <v>328239523</v>
      </c>
      <c r="V13" s="30"/>
      <c r="W13" s="25">
        <f ca="1">TODAY()</f>
        <v>46297</v>
      </c>
      <c r="X13" s="25">
        <f>DATE(N13,O13,P13)</f>
        <v>26749</v>
      </c>
    </row>
    <row r="14" spans="1:24" x14ac:dyDescent="0.3">
      <c r="A14">
        <v>13</v>
      </c>
      <c r="B14" t="s">
        <v>21</v>
      </c>
      <c r="C14" t="s">
        <v>92</v>
      </c>
      <c r="D14" t="s">
        <v>93</v>
      </c>
      <c r="E14" t="s">
        <v>94</v>
      </c>
      <c r="F14" t="s">
        <v>95</v>
      </c>
      <c r="G14" t="s">
        <v>21</v>
      </c>
      <c r="H14" t="b">
        <v>1</v>
      </c>
      <c r="I14" t="s">
        <v>1803</v>
      </c>
      <c r="J14" s="30">
        <f ca="1">YEARFRAC(W14,X14,1)</f>
        <v>90.512666225404658</v>
      </c>
      <c r="K14" t="s">
        <v>97</v>
      </c>
      <c r="L14" s="32">
        <v>77300</v>
      </c>
      <c r="M14" s="27">
        <v>1394116310769</v>
      </c>
      <c r="N14">
        <v>1936</v>
      </c>
      <c r="O14">
        <v>3</v>
      </c>
      <c r="P14">
        <v>28</v>
      </c>
      <c r="Q14">
        <v>110.96</v>
      </c>
      <c r="R14">
        <v>83.3</v>
      </c>
      <c r="S14">
        <v>14.2</v>
      </c>
      <c r="T14">
        <v>47</v>
      </c>
      <c r="U14">
        <v>47076781</v>
      </c>
      <c r="V14" s="30"/>
      <c r="W14" s="25">
        <f ca="1">TODAY()</f>
        <v>46297</v>
      </c>
      <c r="X14" s="25">
        <f>DATE(N14,O14,P14)</f>
        <v>13237</v>
      </c>
    </row>
    <row r="15" spans="1:24" x14ac:dyDescent="0.3">
      <c r="A15">
        <v>14</v>
      </c>
      <c r="B15" t="s">
        <v>38</v>
      </c>
      <c r="C15" t="s">
        <v>99</v>
      </c>
      <c r="D15" t="s">
        <v>32</v>
      </c>
      <c r="E15" t="s">
        <v>100</v>
      </c>
      <c r="F15" t="s">
        <v>90</v>
      </c>
      <c r="G15" t="s">
        <v>38</v>
      </c>
      <c r="H15" t="b">
        <v>1</v>
      </c>
      <c r="I15" t="s">
        <v>1803</v>
      </c>
      <c r="J15" s="30">
        <f ca="1">YEARFRAC(W15,X15,1)</f>
        <v>53.115651777113015</v>
      </c>
      <c r="K15" t="s">
        <v>102</v>
      </c>
      <c r="L15" s="32">
        <v>76000</v>
      </c>
      <c r="M15" s="27">
        <v>21427700000000</v>
      </c>
      <c r="N15">
        <v>1973</v>
      </c>
      <c r="O15">
        <v>8</v>
      </c>
      <c r="P15">
        <v>21</v>
      </c>
      <c r="Q15">
        <v>117.24</v>
      </c>
      <c r="R15">
        <v>78.5</v>
      </c>
      <c r="S15">
        <v>9.6</v>
      </c>
      <c r="T15">
        <v>36.6</v>
      </c>
      <c r="U15">
        <v>328239523</v>
      </c>
      <c r="V15" s="30"/>
      <c r="W15" s="25">
        <f ca="1">TODAY()</f>
        <v>46297</v>
      </c>
      <c r="X15" s="25">
        <f>DATE(N15,O15,P15)</f>
        <v>26897</v>
      </c>
    </row>
    <row r="16" spans="1:24" x14ac:dyDescent="0.3">
      <c r="A16">
        <v>15</v>
      </c>
      <c r="B16" t="s">
        <v>103</v>
      </c>
      <c r="C16" t="s">
        <v>104</v>
      </c>
      <c r="D16" t="s">
        <v>105</v>
      </c>
      <c r="E16" t="s">
        <v>106</v>
      </c>
      <c r="F16" t="s">
        <v>107</v>
      </c>
      <c r="G16" t="s">
        <v>103</v>
      </c>
      <c r="H16" t="b">
        <v>1</v>
      </c>
      <c r="I16" t="s">
        <v>1803</v>
      </c>
      <c r="J16" s="30">
        <f ca="1">YEARFRAC(W16,X16,1)</f>
        <v>71.836402505344481</v>
      </c>
      <c r="K16" t="s">
        <v>109</v>
      </c>
      <c r="L16" s="32">
        <v>68000</v>
      </c>
      <c r="M16" s="27">
        <v>19910000000000</v>
      </c>
      <c r="N16">
        <v>1954</v>
      </c>
      <c r="O16">
        <v>12</v>
      </c>
      <c r="P16">
        <v>1</v>
      </c>
      <c r="Q16">
        <v>125.08</v>
      </c>
      <c r="R16">
        <v>77</v>
      </c>
      <c r="S16">
        <v>9.4</v>
      </c>
      <c r="T16">
        <v>59.2</v>
      </c>
      <c r="U16">
        <v>1397715000</v>
      </c>
      <c r="V16" s="30"/>
      <c r="W16" s="25">
        <f ca="1">TODAY()</f>
        <v>46297</v>
      </c>
      <c r="X16" s="25">
        <f>DATE(N16,O16,P16)</f>
        <v>20059</v>
      </c>
    </row>
    <row r="17" spans="1:24" x14ac:dyDescent="0.3">
      <c r="A17">
        <v>16</v>
      </c>
      <c r="B17" t="s">
        <v>38</v>
      </c>
      <c r="C17" t="s">
        <v>111</v>
      </c>
      <c r="D17" t="s">
        <v>32</v>
      </c>
      <c r="E17" t="s">
        <v>89</v>
      </c>
      <c r="F17" t="s">
        <v>112</v>
      </c>
      <c r="G17" t="s">
        <v>38</v>
      </c>
      <c r="H17" t="b">
        <v>1</v>
      </c>
      <c r="I17" t="s">
        <v>1803</v>
      </c>
      <c r="J17" s="30">
        <f ca="1">YEARFRAC(W17,X17,1)</f>
        <v>42.383993378326757</v>
      </c>
      <c r="K17" t="s">
        <v>114</v>
      </c>
      <c r="L17" s="32">
        <v>64400</v>
      </c>
      <c r="M17" s="27">
        <v>21427700000000</v>
      </c>
      <c r="N17">
        <v>1984</v>
      </c>
      <c r="O17">
        <v>5</v>
      </c>
      <c r="P17">
        <v>14</v>
      </c>
      <c r="Q17">
        <v>117.24</v>
      </c>
      <c r="R17">
        <v>78.5</v>
      </c>
      <c r="S17">
        <v>9.6</v>
      </c>
      <c r="T17">
        <v>36.6</v>
      </c>
      <c r="U17">
        <v>328239523</v>
      </c>
      <c r="V17" s="30"/>
      <c r="W17" s="25">
        <f ca="1">TODAY()</f>
        <v>46297</v>
      </c>
      <c r="X17" s="25">
        <f>DATE(N17,O17,P17)</f>
        <v>30816</v>
      </c>
    </row>
    <row r="18" spans="1:24" x14ac:dyDescent="0.3">
      <c r="A18">
        <v>17</v>
      </c>
      <c r="B18" t="s">
        <v>72</v>
      </c>
      <c r="C18" t="s">
        <v>115</v>
      </c>
      <c r="D18" t="s">
        <v>32</v>
      </c>
      <c r="E18" t="s">
        <v>116</v>
      </c>
      <c r="F18" t="s">
        <v>117</v>
      </c>
      <c r="G18" t="s">
        <v>72</v>
      </c>
      <c r="H18" t="b">
        <v>0</v>
      </c>
      <c r="I18" t="s">
        <v>1803</v>
      </c>
      <c r="J18" s="30">
        <f ca="1">YEARFRAC(W18,X18,1)</f>
        <v>90.918548939082825</v>
      </c>
      <c r="K18" t="s">
        <v>119</v>
      </c>
      <c r="L18" s="32">
        <v>59000</v>
      </c>
      <c r="M18" s="27">
        <v>21427700000000</v>
      </c>
      <c r="N18">
        <v>1935</v>
      </c>
      <c r="O18">
        <v>11</v>
      </c>
      <c r="P18">
        <v>1</v>
      </c>
      <c r="Q18">
        <v>117.24</v>
      </c>
      <c r="R18">
        <v>78.5</v>
      </c>
      <c r="S18">
        <v>9.6</v>
      </c>
      <c r="T18">
        <v>36.6</v>
      </c>
      <c r="U18">
        <v>328239523</v>
      </c>
      <c r="V18" s="30"/>
      <c r="W18" s="25">
        <f ca="1">TODAY()</f>
        <v>46297</v>
      </c>
      <c r="X18" s="25">
        <f>DATE(N18,O18,P18)</f>
        <v>13089</v>
      </c>
    </row>
    <row r="19" spans="1:24" x14ac:dyDescent="0.3">
      <c r="A19">
        <v>17</v>
      </c>
      <c r="B19" t="s">
        <v>72</v>
      </c>
      <c r="C19" t="s">
        <v>120</v>
      </c>
      <c r="D19" t="s">
        <v>32</v>
      </c>
      <c r="E19" t="s">
        <v>61</v>
      </c>
      <c r="F19" t="s">
        <v>117</v>
      </c>
      <c r="G19" t="s">
        <v>72</v>
      </c>
      <c r="H19" t="b">
        <v>0</v>
      </c>
      <c r="I19" t="s">
        <v>1804</v>
      </c>
      <c r="J19" s="30">
        <f ca="1">YEARFRAC(W19,X19,1)</f>
        <v>64.474327113432466</v>
      </c>
      <c r="K19" t="s">
        <v>121</v>
      </c>
      <c r="L19" s="32">
        <v>59000</v>
      </c>
      <c r="M19" s="27">
        <v>21427700000000</v>
      </c>
      <c r="N19">
        <v>1962</v>
      </c>
      <c r="O19">
        <v>4</v>
      </c>
      <c r="P19">
        <v>12</v>
      </c>
      <c r="Q19">
        <v>117.24</v>
      </c>
      <c r="R19">
        <v>78.5</v>
      </c>
      <c r="S19">
        <v>9.6</v>
      </c>
      <c r="T19">
        <v>36.6</v>
      </c>
      <c r="U19">
        <v>328239523</v>
      </c>
      <c r="V19" s="30"/>
      <c r="W19" s="25">
        <f ca="1">TODAY()</f>
        <v>46297</v>
      </c>
      <c r="X19" s="25">
        <f>DATE(N19,O19,P19)</f>
        <v>22748</v>
      </c>
    </row>
    <row r="20" spans="1:24" x14ac:dyDescent="0.3">
      <c r="A20">
        <v>19</v>
      </c>
      <c r="B20" t="s">
        <v>21</v>
      </c>
      <c r="C20" t="s">
        <v>122</v>
      </c>
      <c r="D20" t="s">
        <v>32</v>
      </c>
      <c r="E20" t="s">
        <v>123</v>
      </c>
      <c r="F20" t="s">
        <v>124</v>
      </c>
      <c r="G20" t="s">
        <v>21</v>
      </c>
      <c r="H20" t="b">
        <v>0</v>
      </c>
      <c r="I20" t="s">
        <v>1803</v>
      </c>
      <c r="J20" s="30">
        <f ca="1">YEARFRAC(W20,X20,1)</f>
        <v>78.318281060474789</v>
      </c>
      <c r="K20" t="s">
        <v>126</v>
      </c>
      <c r="L20" s="32">
        <v>58800</v>
      </c>
      <c r="M20" s="27">
        <v>21427700000000</v>
      </c>
      <c r="N20">
        <v>1948</v>
      </c>
      <c r="O20">
        <v>6</v>
      </c>
      <c r="P20">
        <v>7</v>
      </c>
      <c r="Q20">
        <v>117.24</v>
      </c>
      <c r="R20">
        <v>78.5</v>
      </c>
      <c r="S20">
        <v>9.6</v>
      </c>
      <c r="T20">
        <v>36.6</v>
      </c>
      <c r="U20">
        <v>328239523</v>
      </c>
      <c r="V20" s="30"/>
      <c r="W20" s="25">
        <f ca="1">TODAY()</f>
        <v>46297</v>
      </c>
      <c r="X20" s="25">
        <f>DATE(N20,O20,P20)</f>
        <v>17691</v>
      </c>
    </row>
    <row r="21" spans="1:24" x14ac:dyDescent="0.3">
      <c r="A21">
        <v>20</v>
      </c>
      <c r="B21" t="s">
        <v>21</v>
      </c>
      <c r="C21" t="s">
        <v>127</v>
      </c>
      <c r="D21" t="s">
        <v>32</v>
      </c>
      <c r="E21" t="s">
        <v>123</v>
      </c>
      <c r="F21" t="s">
        <v>124</v>
      </c>
      <c r="G21" t="s">
        <v>21</v>
      </c>
      <c r="H21" t="b">
        <v>0</v>
      </c>
      <c r="I21" t="s">
        <v>1803</v>
      </c>
      <c r="J21" s="30">
        <f ca="1">YEARFRAC(W21,X21,1)</f>
        <v>81.929509170075207</v>
      </c>
      <c r="K21" t="s">
        <v>128</v>
      </c>
      <c r="L21" s="32">
        <v>57600</v>
      </c>
      <c r="M21" s="27">
        <v>21427700000000</v>
      </c>
      <c r="N21">
        <v>1944</v>
      </c>
      <c r="O21">
        <v>10</v>
      </c>
      <c r="P21">
        <v>27</v>
      </c>
      <c r="Q21">
        <v>117.24</v>
      </c>
      <c r="R21">
        <v>78.5</v>
      </c>
      <c r="S21">
        <v>9.6</v>
      </c>
      <c r="T21">
        <v>36.6</v>
      </c>
      <c r="U21">
        <v>328239523</v>
      </c>
      <c r="V21" s="30"/>
      <c r="W21" s="25">
        <f ca="1">TODAY()</f>
        <v>46297</v>
      </c>
      <c r="X21" s="25">
        <f>DATE(N21,O21,P21)</f>
        <v>16372</v>
      </c>
    </row>
    <row r="22" spans="1:24" x14ac:dyDescent="0.3">
      <c r="A22">
        <v>21</v>
      </c>
      <c r="B22" t="s">
        <v>21</v>
      </c>
      <c r="C22" t="s">
        <v>129</v>
      </c>
      <c r="D22" t="s">
        <v>32</v>
      </c>
      <c r="E22" t="s">
        <v>130</v>
      </c>
      <c r="F22" t="s">
        <v>124</v>
      </c>
      <c r="G22" t="s">
        <v>21</v>
      </c>
      <c r="H22" t="b">
        <v>0</v>
      </c>
      <c r="I22" t="s">
        <v>1804</v>
      </c>
      <c r="J22" s="30">
        <f ca="1">YEARFRAC(W22,X22,1)</f>
        <v>76.986977429885229</v>
      </c>
      <c r="K22" t="s">
        <v>131</v>
      </c>
      <c r="L22" s="32">
        <v>56700</v>
      </c>
      <c r="M22" s="27">
        <v>21427700000000</v>
      </c>
      <c r="N22">
        <v>1949</v>
      </c>
      <c r="O22">
        <v>10</v>
      </c>
      <c r="P22">
        <v>7</v>
      </c>
      <c r="Q22">
        <v>117.24</v>
      </c>
      <c r="R22">
        <v>78.5</v>
      </c>
      <c r="S22">
        <v>9.6</v>
      </c>
      <c r="T22">
        <v>36.6</v>
      </c>
      <c r="U22">
        <v>328239523</v>
      </c>
      <c r="V22" s="30"/>
      <c r="W22" s="25">
        <f ca="1">TODAY()</f>
        <v>46297</v>
      </c>
      <c r="X22" s="25">
        <f>DATE(N22,O22,P22)</f>
        <v>18178</v>
      </c>
    </row>
    <row r="23" spans="1:24" x14ac:dyDescent="0.3">
      <c r="A23">
        <v>22</v>
      </c>
      <c r="B23" t="s">
        <v>59</v>
      </c>
      <c r="C23" t="s">
        <v>132</v>
      </c>
      <c r="D23" t="s">
        <v>133</v>
      </c>
      <c r="E23" t="s">
        <v>134</v>
      </c>
      <c r="F23" t="s">
        <v>135</v>
      </c>
      <c r="G23" t="s">
        <v>59</v>
      </c>
      <c r="H23" t="b">
        <v>0</v>
      </c>
      <c r="I23" t="s">
        <v>1803</v>
      </c>
      <c r="J23" s="30">
        <f ca="1">YEARFRAC(W23,X23,1)</f>
        <v>69.307310204560565</v>
      </c>
      <c r="K23" t="s">
        <v>137</v>
      </c>
      <c r="L23" s="32">
        <v>54400</v>
      </c>
      <c r="M23" s="27">
        <v>1736425629520</v>
      </c>
      <c r="N23">
        <v>1957</v>
      </c>
      <c r="O23">
        <v>6</v>
      </c>
      <c r="P23">
        <v>12</v>
      </c>
      <c r="Q23">
        <v>116.76</v>
      </c>
      <c r="R23">
        <v>81.900000000000006</v>
      </c>
      <c r="S23">
        <v>12.8</v>
      </c>
      <c r="T23">
        <v>24.5</v>
      </c>
      <c r="U23">
        <v>36991981</v>
      </c>
      <c r="V23" s="30"/>
      <c r="W23" s="25">
        <f ca="1">TODAY()</f>
        <v>46297</v>
      </c>
      <c r="X23" s="25">
        <f>DATE(N23,O23,P23)</f>
        <v>20983</v>
      </c>
    </row>
    <row r="24" spans="1:24" x14ac:dyDescent="0.3">
      <c r="A24">
        <v>23</v>
      </c>
      <c r="B24" t="s">
        <v>38</v>
      </c>
      <c r="C24" t="s">
        <v>139</v>
      </c>
      <c r="D24" t="s">
        <v>32</v>
      </c>
      <c r="E24" t="s">
        <v>33</v>
      </c>
      <c r="F24" t="s">
        <v>140</v>
      </c>
      <c r="G24" t="s">
        <v>38</v>
      </c>
      <c r="H24" t="b">
        <v>1</v>
      </c>
      <c r="I24" t="s">
        <v>1803</v>
      </c>
      <c r="J24" s="30">
        <f ca="1">YEARFRAC(W24,X24,1)</f>
        <v>61.6057407816295</v>
      </c>
      <c r="K24" t="s">
        <v>64</v>
      </c>
      <c r="L24" s="32">
        <v>50100</v>
      </c>
      <c r="M24" s="27">
        <v>21427700000000</v>
      </c>
      <c r="N24">
        <v>1965</v>
      </c>
      <c r="O24">
        <v>2</v>
      </c>
      <c r="P24">
        <v>23</v>
      </c>
      <c r="Q24">
        <v>117.24</v>
      </c>
      <c r="R24">
        <v>78.5</v>
      </c>
      <c r="S24">
        <v>9.6</v>
      </c>
      <c r="T24">
        <v>36.6</v>
      </c>
      <c r="U24">
        <v>328239523</v>
      </c>
      <c r="V24" s="30"/>
      <c r="W24" s="25">
        <f ca="1">TODAY()</f>
        <v>46297</v>
      </c>
      <c r="X24" s="25">
        <f>DATE(N24,O24,P24)</f>
        <v>23796</v>
      </c>
    </row>
    <row r="25" spans="1:24" x14ac:dyDescent="0.3">
      <c r="A25">
        <v>24</v>
      </c>
      <c r="B25" t="s">
        <v>72</v>
      </c>
      <c r="C25" t="s">
        <v>142</v>
      </c>
      <c r="D25" t="s">
        <v>74</v>
      </c>
      <c r="E25" t="s">
        <v>143</v>
      </c>
      <c r="F25" t="s">
        <v>144</v>
      </c>
      <c r="G25" t="s">
        <v>72</v>
      </c>
      <c r="H25" t="b">
        <v>1</v>
      </c>
      <c r="I25" t="s">
        <v>1803</v>
      </c>
      <c r="J25" s="30">
        <f ca="1">YEARFRAC(W25,X25,1)</f>
        <v>64.274461901352097</v>
      </c>
      <c r="K25" t="s">
        <v>146</v>
      </c>
      <c r="L25" s="32">
        <v>47200</v>
      </c>
      <c r="M25" s="27">
        <v>2611000000000</v>
      </c>
      <c r="N25">
        <v>1962</v>
      </c>
      <c r="O25">
        <v>6</v>
      </c>
      <c r="P25">
        <v>24</v>
      </c>
      <c r="Q25">
        <v>180.44</v>
      </c>
      <c r="R25">
        <v>69.400000000000006</v>
      </c>
      <c r="S25">
        <v>11.2</v>
      </c>
      <c r="T25">
        <v>49.7</v>
      </c>
      <c r="U25">
        <v>1366417754</v>
      </c>
      <c r="V25" s="30"/>
      <c r="W25" s="25">
        <f ca="1">TODAY()</f>
        <v>46297</v>
      </c>
      <c r="X25" s="25">
        <f>DATE(N25,O25,P25)</f>
        <v>22821</v>
      </c>
    </row>
    <row r="26" spans="1:24" x14ac:dyDescent="0.3">
      <c r="A26">
        <v>25</v>
      </c>
      <c r="B26" t="s">
        <v>21</v>
      </c>
      <c r="C26" t="s">
        <v>147</v>
      </c>
      <c r="D26" t="s">
        <v>32</v>
      </c>
      <c r="E26" t="s">
        <v>148</v>
      </c>
      <c r="F26" t="s">
        <v>149</v>
      </c>
      <c r="G26" t="s">
        <v>21</v>
      </c>
      <c r="H26" t="b">
        <v>1</v>
      </c>
      <c r="I26" t="s">
        <v>1803</v>
      </c>
      <c r="J26" s="30">
        <f ca="1">YEARFRAC(W26,X26,1)</f>
        <v>88.60300858276679</v>
      </c>
      <c r="K26" t="s">
        <v>151</v>
      </c>
      <c r="L26" s="32">
        <v>45100</v>
      </c>
      <c r="M26" s="27">
        <v>21427700000000</v>
      </c>
      <c r="N26">
        <v>1938</v>
      </c>
      <c r="O26">
        <v>2</v>
      </c>
      <c r="P26">
        <v>24</v>
      </c>
      <c r="Q26">
        <v>117.24</v>
      </c>
      <c r="R26">
        <v>78.5</v>
      </c>
      <c r="S26">
        <v>9.6</v>
      </c>
      <c r="T26">
        <v>36.6</v>
      </c>
      <c r="U26">
        <v>328239523</v>
      </c>
      <c r="V26" s="30"/>
      <c r="W26" s="25">
        <f ca="1">TODAY()</f>
        <v>46297</v>
      </c>
      <c r="X26" s="25">
        <f>DATE(N26,O26,P26)</f>
        <v>13935</v>
      </c>
    </row>
    <row r="27" spans="1:24" x14ac:dyDescent="0.3">
      <c r="A27">
        <v>26</v>
      </c>
      <c r="B27" t="s">
        <v>38</v>
      </c>
      <c r="C27" t="s">
        <v>152</v>
      </c>
      <c r="D27" t="s">
        <v>105</v>
      </c>
      <c r="E27" t="s">
        <v>153</v>
      </c>
      <c r="F27" t="s">
        <v>154</v>
      </c>
      <c r="G27" t="s">
        <v>38</v>
      </c>
      <c r="H27" t="b">
        <v>1</v>
      </c>
      <c r="I27" t="s">
        <v>1803</v>
      </c>
      <c r="J27" s="30">
        <f ca="1">YEARFRAC(W27,X27,1)</f>
        <v>42.750859544123266</v>
      </c>
      <c r="K27" t="s">
        <v>156</v>
      </c>
      <c r="L27" s="32">
        <v>45000</v>
      </c>
      <c r="M27" s="27">
        <v>19910000000000</v>
      </c>
      <c r="N27">
        <v>1984</v>
      </c>
      <c r="O27">
        <v>1</v>
      </c>
      <c r="P27">
        <v>1</v>
      </c>
      <c r="Q27">
        <v>125.08</v>
      </c>
      <c r="R27">
        <v>77</v>
      </c>
      <c r="S27">
        <v>9.4</v>
      </c>
      <c r="T27">
        <v>59.2</v>
      </c>
      <c r="U27">
        <v>1397715000</v>
      </c>
      <c r="V27" s="30"/>
      <c r="W27" s="25">
        <f ca="1">TODAY()</f>
        <v>46297</v>
      </c>
      <c r="X27" s="25">
        <f>DATE(N27,O27,P27)</f>
        <v>30682</v>
      </c>
    </row>
    <row r="28" spans="1:24" x14ac:dyDescent="0.3">
      <c r="A28">
        <v>27</v>
      </c>
      <c r="B28" t="s">
        <v>21</v>
      </c>
      <c r="C28" t="s">
        <v>157</v>
      </c>
      <c r="D28" t="s">
        <v>158</v>
      </c>
      <c r="E28" t="s">
        <v>159</v>
      </c>
      <c r="F28" t="s">
        <v>160</v>
      </c>
      <c r="G28" t="s">
        <v>21</v>
      </c>
      <c r="H28" t="b">
        <v>0</v>
      </c>
      <c r="I28" t="s">
        <v>1803</v>
      </c>
      <c r="J28" s="30">
        <f ca="1">YEARFRAC(W28,X28,1)</f>
        <v>87.022587268993846</v>
      </c>
      <c r="K28" t="s">
        <v>162</v>
      </c>
      <c r="L28" s="32">
        <v>42900</v>
      </c>
      <c r="M28" s="27">
        <v>3845630030824</v>
      </c>
      <c r="N28">
        <v>1939</v>
      </c>
      <c r="O28">
        <v>9</v>
      </c>
      <c r="P28">
        <v>24</v>
      </c>
      <c r="Q28">
        <v>112.85</v>
      </c>
      <c r="R28">
        <v>80.900000000000006</v>
      </c>
      <c r="S28">
        <v>11.5</v>
      </c>
      <c r="T28">
        <v>48.8</v>
      </c>
      <c r="U28">
        <v>83132799</v>
      </c>
      <c r="V28" s="30"/>
      <c r="W28" s="25">
        <f ca="1">TODAY()</f>
        <v>46297</v>
      </c>
      <c r="X28" s="25">
        <f>DATE(N28,O28,P28)</f>
        <v>14512</v>
      </c>
    </row>
    <row r="29" spans="1:24" x14ac:dyDescent="0.3">
      <c r="A29">
        <v>28</v>
      </c>
      <c r="B29" t="s">
        <v>21</v>
      </c>
      <c r="C29" t="s">
        <v>164</v>
      </c>
      <c r="D29" t="s">
        <v>23</v>
      </c>
      <c r="E29" t="s">
        <v>24</v>
      </c>
      <c r="F29" t="s">
        <v>165</v>
      </c>
      <c r="G29" t="s">
        <v>21</v>
      </c>
      <c r="H29" t="b">
        <v>1</v>
      </c>
      <c r="I29" t="s">
        <v>1803</v>
      </c>
      <c r="J29" s="30">
        <f ca="1">YEARFRAC(W29,X29,1)</f>
        <v>90.112943017028698</v>
      </c>
      <c r="K29" t="s">
        <v>167</v>
      </c>
      <c r="L29" s="32">
        <v>40100</v>
      </c>
      <c r="M29" s="27">
        <v>2715518274227</v>
      </c>
      <c r="N29">
        <v>1936</v>
      </c>
      <c r="O29">
        <v>8</v>
      </c>
      <c r="P29">
        <v>21</v>
      </c>
      <c r="Q29">
        <v>110.05</v>
      </c>
      <c r="R29">
        <v>82.5</v>
      </c>
      <c r="S29">
        <v>24.2</v>
      </c>
      <c r="T29">
        <v>60.7</v>
      </c>
      <c r="U29">
        <v>67059887</v>
      </c>
      <c r="V29" s="30"/>
      <c r="W29" s="25">
        <f ca="1">TODAY()</f>
        <v>46297</v>
      </c>
      <c r="X29" s="25">
        <f>DATE(N29,O29,P29)</f>
        <v>13383</v>
      </c>
    </row>
    <row r="30" spans="1:24" x14ac:dyDescent="0.3">
      <c r="A30">
        <v>29</v>
      </c>
      <c r="B30" t="s">
        <v>168</v>
      </c>
      <c r="C30" t="s">
        <v>169</v>
      </c>
      <c r="D30" t="s">
        <v>170</v>
      </c>
      <c r="E30" t="s">
        <v>171</v>
      </c>
      <c r="F30" t="s">
        <v>172</v>
      </c>
      <c r="G30" t="s">
        <v>168</v>
      </c>
      <c r="H30" t="b">
        <v>0</v>
      </c>
      <c r="I30" t="s">
        <v>1803</v>
      </c>
      <c r="J30" s="30">
        <f ca="1">YEARFRAC(W30,X30,1)</f>
        <v>89.334692139206609</v>
      </c>
      <c r="K30" t="s">
        <v>174</v>
      </c>
      <c r="L30" s="32">
        <v>39100</v>
      </c>
      <c r="M30" s="27">
        <v>703082435360</v>
      </c>
      <c r="N30">
        <v>1937</v>
      </c>
      <c r="O30">
        <v>6</v>
      </c>
      <c r="P30">
        <v>2</v>
      </c>
      <c r="Q30">
        <v>99.55</v>
      </c>
      <c r="R30">
        <v>83.6</v>
      </c>
      <c r="S30">
        <v>10.1</v>
      </c>
      <c r="T30">
        <v>28.8</v>
      </c>
      <c r="U30">
        <v>8574832</v>
      </c>
      <c r="V30" s="30"/>
      <c r="W30" s="25">
        <f ca="1">TODAY()</f>
        <v>46297</v>
      </c>
      <c r="X30" s="25">
        <f>DATE(N30,O30,P30)</f>
        <v>13668</v>
      </c>
    </row>
    <row r="31" spans="1:24" x14ac:dyDescent="0.3">
      <c r="A31">
        <v>30</v>
      </c>
      <c r="B31" t="s">
        <v>103</v>
      </c>
      <c r="C31" t="s">
        <v>176</v>
      </c>
      <c r="D31" t="s">
        <v>177</v>
      </c>
      <c r="E31" t="s">
        <v>178</v>
      </c>
      <c r="F31" t="s">
        <v>179</v>
      </c>
      <c r="G31" t="s">
        <v>103</v>
      </c>
      <c r="H31" t="b">
        <v>0</v>
      </c>
      <c r="I31" t="s">
        <v>1803</v>
      </c>
      <c r="J31" s="30">
        <f ca="1">YEARFRAC(W31,X31,1)</f>
        <v>62.028073530050847</v>
      </c>
      <c r="K31" t="s">
        <v>181</v>
      </c>
      <c r="L31" s="32">
        <v>38900</v>
      </c>
      <c r="M31" s="27">
        <v>529606710418</v>
      </c>
      <c r="N31">
        <v>1964</v>
      </c>
      <c r="O31">
        <v>9</v>
      </c>
      <c r="P31">
        <v>21</v>
      </c>
      <c r="Q31">
        <v>117.11</v>
      </c>
      <c r="R31">
        <v>81.599999999999994</v>
      </c>
      <c r="S31">
        <v>24</v>
      </c>
      <c r="T31">
        <v>55.4</v>
      </c>
      <c r="U31">
        <v>11484055</v>
      </c>
      <c r="V31" s="30"/>
      <c r="W31" s="25">
        <f ca="1">TODAY()</f>
        <v>46297</v>
      </c>
      <c r="X31" s="25">
        <f>DATE(N31,O31,P31)</f>
        <v>23641</v>
      </c>
    </row>
    <row r="32" spans="1:24" x14ac:dyDescent="0.3">
      <c r="A32">
        <v>31</v>
      </c>
      <c r="B32" t="s">
        <v>103</v>
      </c>
      <c r="C32" t="s">
        <v>183</v>
      </c>
      <c r="D32" t="s">
        <v>32</v>
      </c>
      <c r="E32" t="s">
        <v>184</v>
      </c>
      <c r="F32" t="s">
        <v>185</v>
      </c>
      <c r="G32" t="s">
        <v>103</v>
      </c>
      <c r="H32" t="b">
        <v>0</v>
      </c>
      <c r="I32" t="s">
        <v>1804</v>
      </c>
      <c r="J32" s="30">
        <f ca="1">YEARFRAC(W32,X32,1)</f>
        <v>86.978781656399732</v>
      </c>
      <c r="K32" t="s">
        <v>187</v>
      </c>
      <c r="L32" s="32">
        <v>38300</v>
      </c>
      <c r="M32" s="27">
        <v>21427700000000</v>
      </c>
      <c r="N32">
        <v>1939</v>
      </c>
      <c r="O32">
        <v>10</v>
      </c>
      <c r="P32">
        <v>10</v>
      </c>
      <c r="Q32">
        <v>117.24</v>
      </c>
      <c r="R32">
        <v>78.5</v>
      </c>
      <c r="S32">
        <v>9.6</v>
      </c>
      <c r="T32">
        <v>36.6</v>
      </c>
      <c r="U32">
        <v>328239523</v>
      </c>
      <c r="V32" s="30"/>
      <c r="W32" s="25">
        <f ca="1">TODAY()</f>
        <v>46297</v>
      </c>
      <c r="X32" s="25">
        <f>DATE(N32,O32,P32)</f>
        <v>14528</v>
      </c>
    </row>
    <row r="33" spans="1:24" x14ac:dyDescent="0.3">
      <c r="A33">
        <v>31</v>
      </c>
      <c r="B33" t="s">
        <v>103</v>
      </c>
      <c r="C33" t="s">
        <v>188</v>
      </c>
      <c r="D33" t="s">
        <v>32</v>
      </c>
      <c r="E33" t="s">
        <v>189</v>
      </c>
      <c r="F33" t="s">
        <v>185</v>
      </c>
      <c r="G33" t="s">
        <v>103</v>
      </c>
      <c r="H33" t="b">
        <v>0</v>
      </c>
      <c r="I33" t="s">
        <v>1803</v>
      </c>
      <c r="J33" s="30">
        <f ca="1">YEARFRAC(W33,X33,1)</f>
        <v>90.965092402464066</v>
      </c>
      <c r="K33" t="s">
        <v>190</v>
      </c>
      <c r="L33" s="32">
        <v>38300</v>
      </c>
      <c r="M33" s="27">
        <v>21427700000000</v>
      </c>
      <c r="N33">
        <v>1935</v>
      </c>
      <c r="O33">
        <v>10</v>
      </c>
      <c r="P33">
        <v>15</v>
      </c>
      <c r="Q33">
        <v>117.24</v>
      </c>
      <c r="R33">
        <v>78.5</v>
      </c>
      <c r="S33">
        <v>9.6</v>
      </c>
      <c r="T33">
        <v>36.6</v>
      </c>
      <c r="U33">
        <v>328239523</v>
      </c>
      <c r="V33" s="30"/>
      <c r="W33" s="25">
        <f ca="1">TODAY()</f>
        <v>46297</v>
      </c>
      <c r="X33" s="25">
        <f>DATE(N33,O33,P33)</f>
        <v>13072</v>
      </c>
    </row>
    <row r="34" spans="1:24" x14ac:dyDescent="0.3">
      <c r="A34">
        <v>34</v>
      </c>
      <c r="B34" t="s">
        <v>38</v>
      </c>
      <c r="C34" t="s">
        <v>191</v>
      </c>
      <c r="D34" t="s">
        <v>105</v>
      </c>
      <c r="E34" t="s">
        <v>192</v>
      </c>
      <c r="F34" t="s">
        <v>193</v>
      </c>
      <c r="G34" t="s">
        <v>38</v>
      </c>
      <c r="H34" t="b">
        <v>1</v>
      </c>
      <c r="I34" t="s">
        <v>1803</v>
      </c>
      <c r="J34" s="30">
        <f ca="1">YEARFRAC(W34,X34,1)</f>
        <v>54.926762491444215</v>
      </c>
      <c r="K34" t="s">
        <v>195</v>
      </c>
      <c r="L34" s="32">
        <v>35300</v>
      </c>
      <c r="M34" s="27">
        <v>19910000000000</v>
      </c>
      <c r="N34">
        <v>1971</v>
      </c>
      <c r="O34">
        <v>10</v>
      </c>
      <c r="P34">
        <v>29</v>
      </c>
      <c r="Q34">
        <v>125.08</v>
      </c>
      <c r="R34">
        <v>77</v>
      </c>
      <c r="S34">
        <v>9.4</v>
      </c>
      <c r="T34">
        <v>59.2</v>
      </c>
      <c r="U34">
        <v>1397715000</v>
      </c>
      <c r="V34" s="30"/>
      <c r="W34" s="25">
        <f ca="1">TODAY()</f>
        <v>46297</v>
      </c>
      <c r="X34" s="25">
        <f>DATE(N34,O34,P34)</f>
        <v>26235</v>
      </c>
    </row>
    <row r="35" spans="1:24" x14ac:dyDescent="0.3">
      <c r="A35">
        <v>35</v>
      </c>
      <c r="B35" t="s">
        <v>196</v>
      </c>
      <c r="C35" t="s">
        <v>197</v>
      </c>
      <c r="D35" t="s">
        <v>32</v>
      </c>
      <c r="E35" t="s">
        <v>198</v>
      </c>
      <c r="F35" t="s">
        <v>199</v>
      </c>
      <c r="G35" t="s">
        <v>196</v>
      </c>
      <c r="H35" t="b">
        <v>0</v>
      </c>
      <c r="I35" t="s">
        <v>1804</v>
      </c>
      <c r="J35" s="30">
        <f ca="1">YEARFRAC(W35,X35,1)</f>
        <v>80.978764607679466</v>
      </c>
      <c r="K35" t="s">
        <v>201</v>
      </c>
      <c r="L35" s="32">
        <v>35000</v>
      </c>
      <c r="M35" s="27">
        <v>21427700000000</v>
      </c>
      <c r="N35">
        <v>1945</v>
      </c>
      <c r="O35">
        <v>10</v>
      </c>
      <c r="P35">
        <v>10</v>
      </c>
      <c r="Q35">
        <v>117.24</v>
      </c>
      <c r="R35">
        <v>78.5</v>
      </c>
      <c r="S35">
        <v>9.6</v>
      </c>
      <c r="T35">
        <v>36.6</v>
      </c>
      <c r="U35">
        <v>328239523</v>
      </c>
      <c r="V35" s="30"/>
      <c r="W35" s="25">
        <f ca="1">TODAY()</f>
        <v>46297</v>
      </c>
      <c r="X35" s="25">
        <f>DATE(N35,O35,P35)</f>
        <v>16720</v>
      </c>
    </row>
    <row r="36" spans="1:24" x14ac:dyDescent="0.3">
      <c r="A36">
        <v>35</v>
      </c>
      <c r="B36" t="s">
        <v>49</v>
      </c>
      <c r="C36" t="s">
        <v>202</v>
      </c>
      <c r="D36" t="s">
        <v>32</v>
      </c>
      <c r="E36" t="s">
        <v>203</v>
      </c>
      <c r="F36" t="s">
        <v>204</v>
      </c>
      <c r="G36" t="s">
        <v>49</v>
      </c>
      <c r="H36" t="b">
        <v>1</v>
      </c>
      <c r="I36" t="s">
        <v>1803</v>
      </c>
      <c r="J36" s="30">
        <f ca="1">YEARFRAC(W36,X36,1)</f>
        <v>57.962366589327146</v>
      </c>
      <c r="K36" t="s">
        <v>206</v>
      </c>
      <c r="L36" s="32">
        <v>35000</v>
      </c>
      <c r="M36" s="27">
        <v>21427700000000</v>
      </c>
      <c r="N36">
        <v>1968</v>
      </c>
      <c r="O36">
        <v>10</v>
      </c>
      <c r="P36">
        <v>15</v>
      </c>
      <c r="Q36">
        <v>117.24</v>
      </c>
      <c r="R36">
        <v>78.5</v>
      </c>
      <c r="S36">
        <v>9.6</v>
      </c>
      <c r="T36">
        <v>36.6</v>
      </c>
      <c r="U36">
        <v>328239523</v>
      </c>
      <c r="V36" s="30"/>
      <c r="W36" s="25">
        <f ca="1">TODAY()</f>
        <v>46297</v>
      </c>
      <c r="X36" s="25">
        <f>DATE(N36,O36,P36)</f>
        <v>25126</v>
      </c>
    </row>
    <row r="37" spans="1:24" x14ac:dyDescent="0.3">
      <c r="A37">
        <v>37</v>
      </c>
      <c r="B37" t="s">
        <v>103</v>
      </c>
      <c r="C37" t="s">
        <v>207</v>
      </c>
      <c r="D37" t="s">
        <v>208</v>
      </c>
      <c r="E37" t="s">
        <v>209</v>
      </c>
      <c r="F37" t="s">
        <v>210</v>
      </c>
      <c r="G37" t="s">
        <v>103</v>
      </c>
      <c r="H37" t="b">
        <v>0</v>
      </c>
      <c r="I37" t="s">
        <v>1803</v>
      </c>
      <c r="J37" s="30">
        <f ca="1">YEARFRAC(W37,X37,1)</f>
        <v>34.403160200250312</v>
      </c>
      <c r="K37" t="s">
        <v>114</v>
      </c>
      <c r="L37" s="32">
        <v>34700</v>
      </c>
      <c r="M37" s="27">
        <v>446314739528</v>
      </c>
      <c r="N37">
        <v>1992</v>
      </c>
      <c r="O37">
        <v>5</v>
      </c>
      <c r="P37">
        <v>7</v>
      </c>
      <c r="Q37">
        <v>118.06</v>
      </c>
      <c r="R37">
        <v>81.599999999999994</v>
      </c>
      <c r="S37">
        <v>25.4</v>
      </c>
      <c r="T37">
        <v>51.4</v>
      </c>
      <c r="U37">
        <v>8877067</v>
      </c>
      <c r="V37" s="30"/>
      <c r="W37" s="25">
        <f ca="1">TODAY()</f>
        <v>46297</v>
      </c>
      <c r="X37" s="25">
        <f>DATE(N37,O37,P37)</f>
        <v>33731</v>
      </c>
    </row>
    <row r="38" spans="1:24" x14ac:dyDescent="0.3">
      <c r="A38">
        <v>38</v>
      </c>
      <c r="B38" t="s">
        <v>30</v>
      </c>
      <c r="C38" t="s">
        <v>213</v>
      </c>
      <c r="D38" t="s">
        <v>105</v>
      </c>
      <c r="E38" t="s">
        <v>214</v>
      </c>
      <c r="F38" t="s">
        <v>215</v>
      </c>
      <c r="G38" t="s">
        <v>30</v>
      </c>
      <c r="H38" t="b">
        <v>1</v>
      </c>
      <c r="I38" t="s">
        <v>1803</v>
      </c>
      <c r="J38" s="30">
        <f ca="1">YEARFRAC(W38,X38,1)</f>
        <v>57.750849697885194</v>
      </c>
      <c r="K38" t="s">
        <v>217</v>
      </c>
      <c r="L38" s="32">
        <v>33400</v>
      </c>
      <c r="M38" s="27">
        <v>19910000000000</v>
      </c>
      <c r="N38">
        <v>1969</v>
      </c>
      <c r="O38">
        <v>1</v>
      </c>
      <c r="P38">
        <v>1</v>
      </c>
      <c r="Q38">
        <v>125.08</v>
      </c>
      <c r="R38">
        <v>77</v>
      </c>
      <c r="S38">
        <v>9.4</v>
      </c>
      <c r="T38">
        <v>59.2</v>
      </c>
      <c r="U38">
        <v>1397715000</v>
      </c>
      <c r="V38" s="30"/>
      <c r="W38" s="25">
        <f ca="1">TODAY()</f>
        <v>46297</v>
      </c>
      <c r="X38" s="25">
        <f>DATE(N38,O38,P38)</f>
        <v>25204</v>
      </c>
    </row>
    <row r="39" spans="1:24" x14ac:dyDescent="0.3">
      <c r="A39">
        <v>39</v>
      </c>
      <c r="B39" t="s">
        <v>21</v>
      </c>
      <c r="C39" t="s">
        <v>218</v>
      </c>
      <c r="D39" t="s">
        <v>219</v>
      </c>
      <c r="E39" t="s">
        <v>220</v>
      </c>
      <c r="F39" t="s">
        <v>221</v>
      </c>
      <c r="G39" t="s">
        <v>21</v>
      </c>
      <c r="H39" t="b">
        <v>1</v>
      </c>
      <c r="I39" t="s">
        <v>1803</v>
      </c>
      <c r="J39" s="30">
        <f ca="1">YEARFRAC(W39,X39,1)</f>
        <v>77.649548948717054</v>
      </c>
      <c r="K39" t="s">
        <v>223</v>
      </c>
      <c r="L39" s="32">
        <v>32600</v>
      </c>
      <c r="M39" s="27">
        <v>5081769542380</v>
      </c>
      <c r="N39">
        <v>1949</v>
      </c>
      <c r="O39">
        <v>2</v>
      </c>
      <c r="P39">
        <v>7</v>
      </c>
      <c r="Q39">
        <v>105.48</v>
      </c>
      <c r="R39">
        <v>84.2</v>
      </c>
      <c r="S39">
        <v>11.9</v>
      </c>
      <c r="T39">
        <v>46.7</v>
      </c>
      <c r="U39">
        <v>126226568</v>
      </c>
      <c r="V39" s="30"/>
      <c r="W39" s="25">
        <f ca="1">TODAY()</f>
        <v>46297</v>
      </c>
      <c r="X39" s="25">
        <f>DATE(N39,O39,P39)</f>
        <v>17936</v>
      </c>
    </row>
    <row r="40" spans="1:24" x14ac:dyDescent="0.3">
      <c r="A40">
        <v>40</v>
      </c>
      <c r="B40" t="s">
        <v>72</v>
      </c>
      <c r="C40" t="s">
        <v>225</v>
      </c>
      <c r="D40" t="s">
        <v>226</v>
      </c>
      <c r="E40" t="s">
        <v>227</v>
      </c>
      <c r="F40" t="s">
        <v>228</v>
      </c>
      <c r="G40" t="s">
        <v>72</v>
      </c>
      <c r="H40" t="b">
        <v>1</v>
      </c>
      <c r="I40" t="s">
        <v>1803</v>
      </c>
      <c r="J40" s="30">
        <f ca="1">YEARFRAC(W40,X40,1)</f>
        <v>69.337427152188368</v>
      </c>
      <c r="K40" t="s">
        <v>230</v>
      </c>
      <c r="L40" s="32">
        <v>32100</v>
      </c>
      <c r="M40" s="27">
        <v>2827113184696</v>
      </c>
      <c r="N40">
        <v>1957</v>
      </c>
      <c r="O40">
        <v>6</v>
      </c>
      <c r="P40">
        <v>1</v>
      </c>
      <c r="Q40">
        <v>119.62</v>
      </c>
      <c r="R40">
        <v>81.3</v>
      </c>
      <c r="S40">
        <v>25.5</v>
      </c>
      <c r="T40">
        <v>30.6</v>
      </c>
      <c r="U40">
        <v>66834405</v>
      </c>
      <c r="V40" s="30"/>
      <c r="W40" s="25">
        <f ca="1">TODAY()</f>
        <v>46297</v>
      </c>
      <c r="X40" s="25">
        <f>DATE(N40,O40,P40)</f>
        <v>20972</v>
      </c>
    </row>
    <row r="41" spans="1:24" x14ac:dyDescent="0.3">
      <c r="A41">
        <v>41</v>
      </c>
      <c r="B41" t="s">
        <v>21</v>
      </c>
      <c r="C41" t="s">
        <v>232</v>
      </c>
      <c r="D41" t="s">
        <v>32</v>
      </c>
      <c r="E41" t="s">
        <v>61</v>
      </c>
      <c r="F41" t="s">
        <v>233</v>
      </c>
      <c r="G41" t="s">
        <v>21</v>
      </c>
      <c r="H41" t="b">
        <v>0</v>
      </c>
      <c r="I41" t="s">
        <v>1803</v>
      </c>
      <c r="J41" s="30">
        <f ca="1">YEARFRAC(W41,X41,1)</f>
        <v>78.093779241032749</v>
      </c>
      <c r="K41" t="s">
        <v>235</v>
      </c>
      <c r="L41" s="32">
        <v>31600</v>
      </c>
      <c r="M41" s="27">
        <v>21427700000000</v>
      </c>
      <c r="N41">
        <v>1948</v>
      </c>
      <c r="O41">
        <v>8</v>
      </c>
      <c r="P41">
        <v>28</v>
      </c>
      <c r="Q41">
        <v>117.24</v>
      </c>
      <c r="R41">
        <v>78.5</v>
      </c>
      <c r="S41">
        <v>9.6</v>
      </c>
      <c r="T41">
        <v>36.6</v>
      </c>
      <c r="U41">
        <v>328239523</v>
      </c>
      <c r="V41" s="30"/>
      <c r="W41" s="25">
        <f ca="1">TODAY()</f>
        <v>46297</v>
      </c>
      <c r="X41" s="25">
        <f>DATE(N41,O41,P41)</f>
        <v>17773</v>
      </c>
    </row>
    <row r="42" spans="1:24" x14ac:dyDescent="0.3">
      <c r="A42">
        <v>41</v>
      </c>
      <c r="B42" t="s">
        <v>21</v>
      </c>
      <c r="C42" t="s">
        <v>236</v>
      </c>
      <c r="D42" t="s">
        <v>32</v>
      </c>
      <c r="E42" t="s">
        <v>61</v>
      </c>
      <c r="F42" t="s">
        <v>233</v>
      </c>
      <c r="G42" t="s">
        <v>21</v>
      </c>
      <c r="H42" t="b">
        <v>0</v>
      </c>
      <c r="I42" t="s">
        <v>1803</v>
      </c>
      <c r="J42" s="30">
        <f ca="1">YEARFRAC(W42,X42,1)</f>
        <v>75.728952772073924</v>
      </c>
      <c r="K42" t="s">
        <v>237</v>
      </c>
      <c r="L42" s="32">
        <v>31600</v>
      </c>
      <c r="M42" s="27">
        <v>21427700000000</v>
      </c>
      <c r="N42">
        <v>1951</v>
      </c>
      <c r="O42">
        <v>1</v>
      </c>
      <c r="P42">
        <v>9</v>
      </c>
      <c r="Q42">
        <v>117.24</v>
      </c>
      <c r="R42">
        <v>78.5</v>
      </c>
      <c r="S42">
        <v>9.6</v>
      </c>
      <c r="T42">
        <v>36.6</v>
      </c>
      <c r="U42">
        <v>328239523</v>
      </c>
      <c r="V42" s="30"/>
      <c r="W42" s="25">
        <f ca="1">TODAY()</f>
        <v>46297</v>
      </c>
      <c r="X42" s="25">
        <f>DATE(N42,O42,P42)</f>
        <v>18637</v>
      </c>
    </row>
    <row r="43" spans="1:24" x14ac:dyDescent="0.3">
      <c r="A43">
        <v>43</v>
      </c>
      <c r="B43" t="s">
        <v>168</v>
      </c>
      <c r="C43" t="s">
        <v>238</v>
      </c>
      <c r="D43" t="s">
        <v>170</v>
      </c>
      <c r="E43" t="s">
        <v>239</v>
      </c>
      <c r="F43" t="s">
        <v>172</v>
      </c>
      <c r="G43" t="s">
        <v>168</v>
      </c>
      <c r="H43" t="b">
        <v>1</v>
      </c>
      <c r="I43" t="s">
        <v>1803</v>
      </c>
      <c r="J43" s="30">
        <f ca="1">YEARFRAC(W43,X43,1)</f>
        <v>86.263523932403942</v>
      </c>
      <c r="K43" t="s">
        <v>241</v>
      </c>
      <c r="L43" s="32">
        <v>31200</v>
      </c>
      <c r="M43" s="27">
        <v>703082435360</v>
      </c>
      <c r="N43">
        <v>1940</v>
      </c>
      <c r="O43">
        <v>6</v>
      </c>
      <c r="P43">
        <v>27</v>
      </c>
      <c r="Q43">
        <v>99.55</v>
      </c>
      <c r="R43">
        <v>83.6</v>
      </c>
      <c r="S43">
        <v>10.1</v>
      </c>
      <c r="T43">
        <v>28.8</v>
      </c>
      <c r="U43">
        <v>8574832</v>
      </c>
      <c r="V43" s="30"/>
      <c r="W43" s="25">
        <f ca="1">TODAY()</f>
        <v>46297</v>
      </c>
      <c r="X43" s="25">
        <f>DATE(N43,O43,P43)</f>
        <v>14789</v>
      </c>
    </row>
    <row r="44" spans="1:24" x14ac:dyDescent="0.3">
      <c r="A44">
        <v>43</v>
      </c>
      <c r="B44" t="s">
        <v>168</v>
      </c>
      <c r="C44" t="s">
        <v>242</v>
      </c>
      <c r="D44" t="s">
        <v>170</v>
      </c>
      <c r="E44" t="s">
        <v>239</v>
      </c>
      <c r="F44" t="s">
        <v>172</v>
      </c>
      <c r="G44" t="s">
        <v>168</v>
      </c>
      <c r="H44" t="b">
        <v>1</v>
      </c>
      <c r="I44" t="s">
        <v>1804</v>
      </c>
      <c r="J44" s="30">
        <f ca="1">YEARFRAC(W44,X44,1)</f>
        <v>81.520868113522539</v>
      </c>
      <c r="K44" t="s">
        <v>244</v>
      </c>
      <c r="L44" s="32">
        <v>31200</v>
      </c>
      <c r="M44" s="27">
        <v>703082435360</v>
      </c>
      <c r="N44">
        <v>1945</v>
      </c>
      <c r="O44">
        <v>3</v>
      </c>
      <c r="P44">
        <v>26</v>
      </c>
      <c r="Q44">
        <v>99.55</v>
      </c>
      <c r="R44">
        <v>83.6</v>
      </c>
      <c r="S44">
        <v>10.1</v>
      </c>
      <c r="T44">
        <v>28.8</v>
      </c>
      <c r="U44">
        <v>8574832</v>
      </c>
      <c r="V44" s="30"/>
      <c r="W44" s="25">
        <f ca="1">TODAY()</f>
        <v>46297</v>
      </c>
      <c r="X44" s="25">
        <f>DATE(N44,O44,P44)</f>
        <v>16522</v>
      </c>
    </row>
    <row r="45" spans="1:24" x14ac:dyDescent="0.3">
      <c r="A45">
        <v>45</v>
      </c>
      <c r="B45" t="s">
        <v>38</v>
      </c>
      <c r="C45" t="s">
        <v>245</v>
      </c>
      <c r="D45" t="s">
        <v>105</v>
      </c>
      <c r="E45" t="s">
        <v>246</v>
      </c>
      <c r="F45" t="s">
        <v>247</v>
      </c>
      <c r="G45" t="s">
        <v>38</v>
      </c>
      <c r="H45" t="b">
        <v>1</v>
      </c>
      <c r="I45" t="s">
        <v>1803</v>
      </c>
      <c r="J45" s="30">
        <f ca="1">YEARFRAC(W45,X45,1)</f>
        <v>46.663249257295973</v>
      </c>
      <c r="K45" t="s">
        <v>249</v>
      </c>
      <c r="L45" s="32">
        <v>30200</v>
      </c>
      <c r="M45" s="27">
        <v>19910000000000</v>
      </c>
      <c r="N45">
        <v>1980</v>
      </c>
      <c r="O45">
        <v>2</v>
      </c>
      <c r="P45">
        <v>2</v>
      </c>
      <c r="Q45">
        <v>125.08</v>
      </c>
      <c r="R45">
        <v>77</v>
      </c>
      <c r="S45">
        <v>9.4</v>
      </c>
      <c r="T45">
        <v>59.2</v>
      </c>
      <c r="U45">
        <v>1397715000</v>
      </c>
      <c r="V45" s="30"/>
      <c r="W45" s="25">
        <f ca="1">TODAY()</f>
        <v>46297</v>
      </c>
      <c r="X45" s="25">
        <f>DATE(N45,O45,P45)</f>
        <v>29253</v>
      </c>
    </row>
    <row r="46" spans="1:24" x14ac:dyDescent="0.3">
      <c r="A46">
        <v>46</v>
      </c>
      <c r="B46" t="s">
        <v>250</v>
      </c>
      <c r="C46" t="s">
        <v>251</v>
      </c>
      <c r="D46" t="s">
        <v>158</v>
      </c>
      <c r="E46" t="s">
        <v>252</v>
      </c>
      <c r="F46" t="s">
        <v>253</v>
      </c>
      <c r="G46" t="s">
        <v>250</v>
      </c>
      <c r="H46" t="b">
        <v>1</v>
      </c>
      <c r="I46" t="s">
        <v>1803</v>
      </c>
      <c r="J46" s="30">
        <f ca="1">YEARFRAC(W46,X46,1)</f>
        <v>91.452429842573579</v>
      </c>
      <c r="K46" t="s">
        <v>255</v>
      </c>
      <c r="L46" s="32">
        <v>29700</v>
      </c>
      <c r="M46" s="27">
        <v>3845630030824</v>
      </c>
      <c r="N46">
        <v>1935</v>
      </c>
      <c r="O46">
        <v>4</v>
      </c>
      <c r="P46">
        <v>20</v>
      </c>
      <c r="Q46">
        <v>112.85</v>
      </c>
      <c r="R46">
        <v>80.900000000000006</v>
      </c>
      <c r="S46">
        <v>11.5</v>
      </c>
      <c r="T46">
        <v>48.8</v>
      </c>
      <c r="U46">
        <v>83132799</v>
      </c>
      <c r="V46" s="30"/>
      <c r="W46" s="25">
        <f ca="1">TODAY()</f>
        <v>46297</v>
      </c>
      <c r="X46" s="25">
        <f>DATE(N46,O46,P46)</f>
        <v>12894</v>
      </c>
    </row>
    <row r="47" spans="1:24" x14ac:dyDescent="0.3">
      <c r="A47">
        <v>48</v>
      </c>
      <c r="B47" t="s">
        <v>49</v>
      </c>
      <c r="C47" t="s">
        <v>256</v>
      </c>
      <c r="D47" t="s">
        <v>32</v>
      </c>
      <c r="E47" t="s">
        <v>257</v>
      </c>
      <c r="F47" t="s">
        <v>258</v>
      </c>
      <c r="G47" t="s">
        <v>49</v>
      </c>
      <c r="H47" t="b">
        <v>1</v>
      </c>
      <c r="I47" t="s">
        <v>1803</v>
      </c>
      <c r="J47" s="30">
        <f ca="1">YEARFRAC(W47,X47,1)</f>
        <v>68.21149115149592</v>
      </c>
      <c r="K47" t="s">
        <v>43</v>
      </c>
      <c r="L47" s="32">
        <v>28500</v>
      </c>
      <c r="M47" s="27">
        <v>21427700000000</v>
      </c>
      <c r="N47">
        <v>1958</v>
      </c>
      <c r="O47">
        <v>7</v>
      </c>
      <c r="P47">
        <v>17</v>
      </c>
      <c r="Q47">
        <v>117.24</v>
      </c>
      <c r="R47">
        <v>78.5</v>
      </c>
      <c r="S47">
        <v>9.6</v>
      </c>
      <c r="T47">
        <v>36.6</v>
      </c>
      <c r="U47">
        <v>328239523</v>
      </c>
      <c r="V47" s="30"/>
      <c r="W47" s="25">
        <f ca="1">TODAY()</f>
        <v>46297</v>
      </c>
      <c r="X47" s="25">
        <f>DATE(N47,O47,P47)</f>
        <v>21383</v>
      </c>
    </row>
    <row r="48" spans="1:24" x14ac:dyDescent="0.3">
      <c r="A48">
        <v>49</v>
      </c>
      <c r="B48" t="s">
        <v>49</v>
      </c>
      <c r="C48" t="s">
        <v>260</v>
      </c>
      <c r="D48" t="s">
        <v>32</v>
      </c>
      <c r="E48" t="s">
        <v>261</v>
      </c>
      <c r="F48" t="s">
        <v>204</v>
      </c>
      <c r="G48" t="s">
        <v>49</v>
      </c>
      <c r="H48" t="b">
        <v>1</v>
      </c>
      <c r="I48" t="s">
        <v>1803</v>
      </c>
      <c r="J48" s="30">
        <f ca="1">YEARFRAC(W48,X48,1)</f>
        <v>88.438736272187526</v>
      </c>
      <c r="K48" t="s">
        <v>126</v>
      </c>
      <c r="L48" s="32">
        <v>28100</v>
      </c>
      <c r="M48" s="27">
        <v>21427700000000</v>
      </c>
      <c r="N48">
        <v>1938</v>
      </c>
      <c r="O48">
        <v>4</v>
      </c>
      <c r="P48">
        <v>25</v>
      </c>
      <c r="Q48">
        <v>117.24</v>
      </c>
      <c r="R48">
        <v>78.5</v>
      </c>
      <c r="S48">
        <v>9.6</v>
      </c>
      <c r="T48">
        <v>36.6</v>
      </c>
      <c r="U48">
        <v>328239523</v>
      </c>
      <c r="V48" s="30"/>
      <c r="W48" s="25">
        <f ca="1">TODAY()</f>
        <v>46297</v>
      </c>
      <c r="X48" s="25">
        <f>DATE(N48,O48,P48)</f>
        <v>13995</v>
      </c>
    </row>
    <row r="49" spans="1:24" x14ac:dyDescent="0.3">
      <c r="A49">
        <v>50</v>
      </c>
      <c r="B49" t="s">
        <v>49</v>
      </c>
      <c r="C49" t="s">
        <v>263</v>
      </c>
      <c r="D49" t="s">
        <v>32</v>
      </c>
      <c r="E49" t="s">
        <v>61</v>
      </c>
      <c r="F49" t="s">
        <v>264</v>
      </c>
      <c r="G49" t="s">
        <v>49</v>
      </c>
      <c r="H49" t="b">
        <v>1</v>
      </c>
      <c r="I49" t="s">
        <v>1803</v>
      </c>
      <c r="J49" s="30">
        <f ca="1">YEARFRAC(W49,X49,1)</f>
        <v>79.630390143737159</v>
      </c>
      <c r="K49" t="s">
        <v>266</v>
      </c>
      <c r="L49" s="32">
        <v>27800</v>
      </c>
      <c r="M49" s="27">
        <v>21427700000000</v>
      </c>
      <c r="N49">
        <v>1947</v>
      </c>
      <c r="O49">
        <v>2</v>
      </c>
      <c r="P49">
        <v>14</v>
      </c>
      <c r="Q49">
        <v>117.24</v>
      </c>
      <c r="R49">
        <v>78.5</v>
      </c>
      <c r="S49">
        <v>9.6</v>
      </c>
      <c r="T49">
        <v>36.6</v>
      </c>
      <c r="U49">
        <v>328239523</v>
      </c>
      <c r="V49" s="30"/>
      <c r="W49" s="25">
        <f ca="1">TODAY()</f>
        <v>46297</v>
      </c>
      <c r="X49" s="25">
        <f>DATE(N49,O49,P49)</f>
        <v>17212</v>
      </c>
    </row>
    <row r="50" spans="1:24" x14ac:dyDescent="0.3">
      <c r="A50">
        <v>51</v>
      </c>
      <c r="B50" t="s">
        <v>30</v>
      </c>
      <c r="C50" t="s">
        <v>267</v>
      </c>
      <c r="D50" t="s">
        <v>158</v>
      </c>
      <c r="E50" t="s">
        <v>268</v>
      </c>
      <c r="F50" t="s">
        <v>269</v>
      </c>
      <c r="G50" t="s">
        <v>30</v>
      </c>
      <c r="H50" t="b">
        <v>0</v>
      </c>
      <c r="I50" t="s">
        <v>1804</v>
      </c>
      <c r="J50" s="30">
        <f ca="1">YEARFRAC(W50,X50,1)</f>
        <v>64.430521039551834</v>
      </c>
      <c r="K50" t="s">
        <v>271</v>
      </c>
      <c r="L50" s="32">
        <v>27400</v>
      </c>
      <c r="M50" s="27">
        <v>3845630030824</v>
      </c>
      <c r="N50">
        <v>1962</v>
      </c>
      <c r="O50">
        <v>4</v>
      </c>
      <c r="P50">
        <v>28</v>
      </c>
      <c r="Q50">
        <v>112.85</v>
      </c>
      <c r="R50">
        <v>80.900000000000006</v>
      </c>
      <c r="S50">
        <v>11.5</v>
      </c>
      <c r="T50">
        <v>48.8</v>
      </c>
      <c r="U50">
        <v>83132799</v>
      </c>
      <c r="V50" s="30"/>
      <c r="W50" s="25">
        <f ca="1">TODAY()</f>
        <v>46297</v>
      </c>
      <c r="X50" s="25">
        <f>DATE(N50,O50,P50)</f>
        <v>22764</v>
      </c>
    </row>
    <row r="51" spans="1:24" x14ac:dyDescent="0.3">
      <c r="A51">
        <v>52</v>
      </c>
      <c r="B51" t="s">
        <v>272</v>
      </c>
      <c r="C51" t="s">
        <v>273</v>
      </c>
      <c r="D51" t="s">
        <v>274</v>
      </c>
      <c r="E51" t="s">
        <v>275</v>
      </c>
      <c r="F51" t="s">
        <v>276</v>
      </c>
      <c r="G51" t="s">
        <v>272</v>
      </c>
      <c r="H51" t="b">
        <v>0</v>
      </c>
      <c r="I51" t="s">
        <v>1804</v>
      </c>
      <c r="J51" s="30">
        <f ca="1">YEARFRAC(W51,X51,1)</f>
        <v>72.644076060458318</v>
      </c>
      <c r="K51" t="s">
        <v>278</v>
      </c>
      <c r="L51" s="32">
        <v>27000</v>
      </c>
      <c r="M51" s="27">
        <v>1392680589329</v>
      </c>
      <c r="N51">
        <v>1954</v>
      </c>
      <c r="O51">
        <v>2</v>
      </c>
      <c r="P51">
        <v>9</v>
      </c>
      <c r="Q51">
        <v>119.8</v>
      </c>
      <c r="R51">
        <v>82.7</v>
      </c>
      <c r="S51">
        <v>23</v>
      </c>
      <c r="T51">
        <v>47.4</v>
      </c>
      <c r="U51">
        <v>25766605</v>
      </c>
      <c r="V51" s="30"/>
      <c r="W51" s="25">
        <f ca="1">TODAY()</f>
        <v>46297</v>
      </c>
      <c r="X51" s="25">
        <f>DATE(N51,O51,P51)</f>
        <v>19764</v>
      </c>
    </row>
    <row r="52" spans="1:24" x14ac:dyDescent="0.3">
      <c r="A52">
        <v>53</v>
      </c>
      <c r="B52" t="s">
        <v>38</v>
      </c>
      <c r="C52" t="s">
        <v>280</v>
      </c>
      <c r="D52" t="s">
        <v>105</v>
      </c>
      <c r="E52" t="s">
        <v>106</v>
      </c>
      <c r="F52" t="s">
        <v>281</v>
      </c>
      <c r="G52" t="s">
        <v>38</v>
      </c>
      <c r="H52" t="b">
        <v>1</v>
      </c>
      <c r="I52" t="s">
        <v>1803</v>
      </c>
      <c r="J52" s="30">
        <f ca="1">YEARFRAC(W52,X52,1)</f>
        <v>55.003422313483917</v>
      </c>
      <c r="K52" t="s">
        <v>283</v>
      </c>
      <c r="L52" s="32">
        <v>26700</v>
      </c>
      <c r="M52" s="27">
        <v>19910000000000</v>
      </c>
      <c r="N52">
        <v>1971</v>
      </c>
      <c r="O52">
        <v>10</v>
      </c>
      <c r="P52">
        <v>1</v>
      </c>
      <c r="Q52">
        <v>125.08</v>
      </c>
      <c r="R52">
        <v>77</v>
      </c>
      <c r="S52">
        <v>9.4</v>
      </c>
      <c r="T52">
        <v>59.2</v>
      </c>
      <c r="U52">
        <v>1397715000</v>
      </c>
      <c r="V52" s="30"/>
      <c r="W52" s="25">
        <f ca="1">TODAY()</f>
        <v>46297</v>
      </c>
      <c r="X52" s="25">
        <f>DATE(N52,O52,P52)</f>
        <v>26207</v>
      </c>
    </row>
    <row r="53" spans="1:24" x14ac:dyDescent="0.3">
      <c r="A53">
        <v>54</v>
      </c>
      <c r="B53" t="s">
        <v>272</v>
      </c>
      <c r="C53" t="s">
        <v>284</v>
      </c>
      <c r="D53" t="s">
        <v>67</v>
      </c>
      <c r="E53" t="s">
        <v>68</v>
      </c>
      <c r="F53" t="s">
        <v>276</v>
      </c>
      <c r="G53" t="s">
        <v>272</v>
      </c>
      <c r="H53" t="b">
        <v>0</v>
      </c>
      <c r="I53" t="s">
        <v>1803</v>
      </c>
      <c r="J53" s="30">
        <f ca="1">YEARFRAC(W53,X53,1)</f>
        <v>72.934956341571706</v>
      </c>
      <c r="K53" t="s">
        <v>286</v>
      </c>
      <c r="L53" s="32">
        <v>26600</v>
      </c>
      <c r="M53" s="27">
        <v>1258286717125</v>
      </c>
      <c r="N53">
        <v>1953</v>
      </c>
      <c r="O53">
        <v>10</v>
      </c>
      <c r="P53">
        <v>26</v>
      </c>
      <c r="Q53">
        <v>141.54</v>
      </c>
      <c r="R53">
        <v>75</v>
      </c>
      <c r="S53">
        <v>13.1</v>
      </c>
      <c r="T53">
        <v>55.1</v>
      </c>
      <c r="U53">
        <v>126014024</v>
      </c>
      <c r="V53" s="30"/>
      <c r="W53" s="25">
        <f ca="1">TODAY()</f>
        <v>46297</v>
      </c>
      <c r="X53" s="25">
        <f>DATE(N53,O53,P53)</f>
        <v>19658</v>
      </c>
    </row>
    <row r="54" spans="1:24" x14ac:dyDescent="0.3">
      <c r="A54">
        <v>55</v>
      </c>
      <c r="B54" t="s">
        <v>38</v>
      </c>
      <c r="C54" t="s">
        <v>287</v>
      </c>
      <c r="D54" t="s">
        <v>74</v>
      </c>
      <c r="E54" t="s">
        <v>288</v>
      </c>
      <c r="F54" t="s">
        <v>289</v>
      </c>
      <c r="G54" t="s">
        <v>38</v>
      </c>
      <c r="H54" t="b">
        <v>1</v>
      </c>
      <c r="I54" t="s">
        <v>1803</v>
      </c>
      <c r="J54" s="30">
        <f ca="1">YEARFRAC(W54,X54,1)</f>
        <v>81.208747913188645</v>
      </c>
      <c r="K54" t="s">
        <v>291</v>
      </c>
      <c r="L54" s="32">
        <v>25600</v>
      </c>
      <c r="M54" s="27">
        <v>2611000000000</v>
      </c>
      <c r="N54">
        <v>1945</v>
      </c>
      <c r="O54">
        <v>7</v>
      </c>
      <c r="P54">
        <v>18</v>
      </c>
      <c r="Q54">
        <v>180.44</v>
      </c>
      <c r="R54">
        <v>69.400000000000006</v>
      </c>
      <c r="S54">
        <v>11.2</v>
      </c>
      <c r="T54">
        <v>49.7</v>
      </c>
      <c r="U54">
        <v>1366417754</v>
      </c>
      <c r="V54" s="30"/>
      <c r="W54" s="25">
        <f ca="1">TODAY()</f>
        <v>46297</v>
      </c>
      <c r="X54" s="25">
        <f>DATE(N54,O54,P54)</f>
        <v>16636</v>
      </c>
    </row>
    <row r="55" spans="1:24" x14ac:dyDescent="0.3">
      <c r="A55">
        <v>56</v>
      </c>
      <c r="B55" t="s">
        <v>292</v>
      </c>
      <c r="C55" t="s">
        <v>293</v>
      </c>
      <c r="D55" t="s">
        <v>294</v>
      </c>
      <c r="E55" t="s">
        <v>295</v>
      </c>
      <c r="F55" t="s">
        <v>296</v>
      </c>
      <c r="G55" t="s">
        <v>292</v>
      </c>
      <c r="H55" t="b">
        <v>1</v>
      </c>
      <c r="I55" t="s">
        <v>1803</v>
      </c>
      <c r="J55" s="30">
        <f ca="1">YEARFRAC(W55,X55,1)</f>
        <v>78.457910240859476</v>
      </c>
      <c r="K55" t="s">
        <v>298</v>
      </c>
      <c r="L55" s="32">
        <v>25500</v>
      </c>
      <c r="M55" s="27">
        <v>1119190780753</v>
      </c>
      <c r="N55">
        <v>1948</v>
      </c>
      <c r="O55">
        <v>4</v>
      </c>
      <c r="P55">
        <v>17</v>
      </c>
      <c r="Q55">
        <v>151.18</v>
      </c>
      <c r="R55">
        <v>71.5</v>
      </c>
      <c r="S55">
        <v>10.199999999999999</v>
      </c>
      <c r="T55">
        <v>30.1</v>
      </c>
      <c r="U55">
        <v>270203917</v>
      </c>
      <c r="V55" s="30"/>
      <c r="W55" s="25">
        <f ca="1">TODAY()</f>
        <v>46297</v>
      </c>
      <c r="X55" s="25">
        <f>DATE(N55,O55,P55)</f>
        <v>17640</v>
      </c>
    </row>
    <row r="56" spans="1:24" x14ac:dyDescent="0.3">
      <c r="A56">
        <v>57</v>
      </c>
      <c r="B56" t="s">
        <v>49</v>
      </c>
      <c r="C56" t="s">
        <v>300</v>
      </c>
      <c r="D56" t="s">
        <v>32</v>
      </c>
      <c r="E56" t="s">
        <v>301</v>
      </c>
      <c r="F56" t="s">
        <v>302</v>
      </c>
      <c r="G56" t="s">
        <v>49</v>
      </c>
      <c r="H56" t="b">
        <v>1</v>
      </c>
      <c r="I56" t="s">
        <v>1803</v>
      </c>
      <c r="J56" s="30">
        <f ca="1">YEARFRAC(W56,X56,1)</f>
        <v>82.00343053173242</v>
      </c>
      <c r="K56" t="s">
        <v>304</v>
      </c>
      <c r="L56" s="32">
        <v>25300</v>
      </c>
      <c r="M56" s="27">
        <v>21427700000000</v>
      </c>
      <c r="N56">
        <v>1944</v>
      </c>
      <c r="O56">
        <v>9</v>
      </c>
      <c r="P56">
        <v>30</v>
      </c>
      <c r="Q56">
        <v>117.24</v>
      </c>
      <c r="R56">
        <v>78.5</v>
      </c>
      <c r="S56">
        <v>9.6</v>
      </c>
      <c r="T56">
        <v>36.6</v>
      </c>
      <c r="U56">
        <v>328239523</v>
      </c>
      <c r="V56" s="30"/>
      <c r="W56" s="25">
        <f ca="1">TODAY()</f>
        <v>46297</v>
      </c>
      <c r="X56" s="25">
        <f>DATE(N56,O56,P56)</f>
        <v>16345</v>
      </c>
    </row>
    <row r="57" spans="1:24" x14ac:dyDescent="0.3">
      <c r="A57">
        <v>58</v>
      </c>
      <c r="B57" t="s">
        <v>272</v>
      </c>
      <c r="C57" t="s">
        <v>305</v>
      </c>
      <c r="D57" t="s">
        <v>306</v>
      </c>
      <c r="E57" t="s">
        <v>307</v>
      </c>
      <c r="F57" t="s">
        <v>308</v>
      </c>
      <c r="G57" t="s">
        <v>272</v>
      </c>
      <c r="H57" t="b">
        <v>1</v>
      </c>
      <c r="I57" t="s">
        <v>1803</v>
      </c>
      <c r="J57" s="30">
        <f ca="1">YEARFRAC(W57,X57,1)</f>
        <v>54.567424958932747</v>
      </c>
      <c r="K57" t="s">
        <v>310</v>
      </c>
      <c r="L57" s="32">
        <v>25200</v>
      </c>
      <c r="M57" s="27">
        <v>421142267938</v>
      </c>
      <c r="N57">
        <v>1972</v>
      </c>
      <c r="O57">
        <v>3</v>
      </c>
      <c r="P57">
        <v>8</v>
      </c>
      <c r="Q57">
        <v>114.52</v>
      </c>
      <c r="R57">
        <v>77.8</v>
      </c>
      <c r="S57">
        <v>0.1</v>
      </c>
      <c r="T57">
        <v>15.9</v>
      </c>
      <c r="U57">
        <v>9770529</v>
      </c>
      <c r="V57" s="30"/>
      <c r="W57" s="25">
        <f ca="1">TODAY()</f>
        <v>46297</v>
      </c>
      <c r="X57" s="25">
        <f>DATE(N57,O57,P57)</f>
        <v>26366</v>
      </c>
    </row>
    <row r="58" spans="1:24" x14ac:dyDescent="0.3">
      <c r="A58">
        <v>59</v>
      </c>
      <c r="B58" t="s">
        <v>30</v>
      </c>
      <c r="C58" t="s">
        <v>312</v>
      </c>
      <c r="D58" t="s">
        <v>158</v>
      </c>
      <c r="E58" t="s">
        <v>313</v>
      </c>
      <c r="F58" t="s">
        <v>314</v>
      </c>
      <c r="G58" t="s">
        <v>30</v>
      </c>
      <c r="H58" t="b">
        <v>0</v>
      </c>
      <c r="I58" t="s">
        <v>1803</v>
      </c>
      <c r="J58" s="30">
        <f ca="1">YEARFRAC(W58,X58,1)</f>
        <v>60.400403949730702</v>
      </c>
      <c r="K58" t="s">
        <v>316</v>
      </c>
      <c r="L58" s="32">
        <v>24600</v>
      </c>
      <c r="M58" s="27">
        <v>3845630030824</v>
      </c>
      <c r="N58">
        <v>1966</v>
      </c>
      <c r="O58">
        <v>5</v>
      </c>
      <c r="P58">
        <v>9</v>
      </c>
      <c r="Q58">
        <v>112.85</v>
      </c>
      <c r="R58">
        <v>80.900000000000006</v>
      </c>
      <c r="S58">
        <v>11.5</v>
      </c>
      <c r="T58">
        <v>48.8</v>
      </c>
      <c r="U58">
        <v>83132799</v>
      </c>
      <c r="V58" s="30"/>
      <c r="W58" s="25">
        <f ca="1">TODAY()</f>
        <v>46297</v>
      </c>
      <c r="X58" s="25">
        <f>DATE(N58,O58,P58)</f>
        <v>24236</v>
      </c>
    </row>
    <row r="59" spans="1:24" x14ac:dyDescent="0.3">
      <c r="A59">
        <v>60</v>
      </c>
      <c r="B59" t="s">
        <v>38</v>
      </c>
      <c r="C59" t="s">
        <v>317</v>
      </c>
      <c r="D59" t="s">
        <v>32</v>
      </c>
      <c r="E59" t="s">
        <v>318</v>
      </c>
      <c r="F59" t="s">
        <v>41</v>
      </c>
      <c r="G59" t="s">
        <v>38</v>
      </c>
      <c r="H59" t="b">
        <v>0</v>
      </c>
      <c r="I59" t="s">
        <v>1804</v>
      </c>
      <c r="J59" s="30">
        <f ca="1">YEARFRAC(W59,X59,1)</f>
        <v>56.488015754839331</v>
      </c>
      <c r="K59" t="s">
        <v>320</v>
      </c>
      <c r="L59" s="32">
        <v>24400</v>
      </c>
      <c r="M59" s="27">
        <v>21427700000000</v>
      </c>
      <c r="N59">
        <v>1970</v>
      </c>
      <c r="O59">
        <v>4</v>
      </c>
      <c r="P59">
        <v>7</v>
      </c>
      <c r="Q59">
        <v>117.24</v>
      </c>
      <c r="R59">
        <v>78.5</v>
      </c>
      <c r="S59">
        <v>9.6</v>
      </c>
      <c r="T59">
        <v>36.6</v>
      </c>
      <c r="U59">
        <v>328239523</v>
      </c>
      <c r="V59" s="30"/>
      <c r="W59" s="25">
        <f ca="1">TODAY()</f>
        <v>46297</v>
      </c>
      <c r="X59" s="25">
        <f>DATE(N59,O59,P59)</f>
        <v>25665</v>
      </c>
    </row>
    <row r="60" spans="1:24" x14ac:dyDescent="0.3">
      <c r="A60">
        <v>61</v>
      </c>
      <c r="B60" t="s">
        <v>49</v>
      </c>
      <c r="C60" t="s">
        <v>321</v>
      </c>
      <c r="D60" t="s">
        <v>294</v>
      </c>
      <c r="E60" t="s">
        <v>322</v>
      </c>
      <c r="F60" t="s">
        <v>323</v>
      </c>
      <c r="G60" t="s">
        <v>49</v>
      </c>
      <c r="H60" t="b">
        <v>0</v>
      </c>
      <c r="I60" t="s">
        <v>1803</v>
      </c>
      <c r="J60" s="30">
        <f ca="1">YEARFRAC(W60,X60,1)</f>
        <v>85.75085161249244</v>
      </c>
      <c r="K60" t="s">
        <v>325</v>
      </c>
      <c r="L60" s="32">
        <v>24200</v>
      </c>
      <c r="M60" s="27">
        <v>1119190780753</v>
      </c>
      <c r="N60">
        <v>1941</v>
      </c>
      <c r="O60">
        <v>1</v>
      </c>
      <c r="P60">
        <v>1</v>
      </c>
      <c r="Q60">
        <v>151.18</v>
      </c>
      <c r="R60">
        <v>71.5</v>
      </c>
      <c r="S60">
        <v>10.199999999999999</v>
      </c>
      <c r="T60">
        <v>30.1</v>
      </c>
      <c r="U60">
        <v>270203917</v>
      </c>
      <c r="V60" s="30"/>
      <c r="W60" s="25">
        <f ca="1">TODAY()</f>
        <v>46297</v>
      </c>
      <c r="X60" s="25">
        <f>DATE(N60,O60,P60)</f>
        <v>14977</v>
      </c>
    </row>
    <row r="61" spans="1:24" x14ac:dyDescent="0.3">
      <c r="A61">
        <v>62</v>
      </c>
      <c r="B61" t="s">
        <v>272</v>
      </c>
      <c r="C61" t="s">
        <v>326</v>
      </c>
      <c r="D61" t="s">
        <v>327</v>
      </c>
      <c r="E61" t="s">
        <v>328</v>
      </c>
      <c r="F61" t="s">
        <v>329</v>
      </c>
      <c r="G61" t="s">
        <v>272</v>
      </c>
      <c r="H61" t="b">
        <v>1</v>
      </c>
      <c r="I61" t="s">
        <v>1803</v>
      </c>
      <c r="J61" s="30">
        <f ca="1">YEARFRAC(W61,X61,1)</f>
        <v>65.745374595536376</v>
      </c>
      <c r="K61" t="s">
        <v>331</v>
      </c>
      <c r="L61" s="32">
        <v>23700</v>
      </c>
      <c r="M61" s="27">
        <v>1699876578871</v>
      </c>
      <c r="N61">
        <v>1961</v>
      </c>
      <c r="O61">
        <v>1</v>
      </c>
      <c r="P61">
        <v>3</v>
      </c>
      <c r="Q61">
        <v>180.75</v>
      </c>
      <c r="R61">
        <v>72.7</v>
      </c>
      <c r="S61">
        <v>11.4</v>
      </c>
      <c r="T61">
        <v>46.2</v>
      </c>
      <c r="U61">
        <v>144373535</v>
      </c>
      <c r="V61" s="30"/>
      <c r="W61" s="25">
        <f ca="1">TODAY()</f>
        <v>46297</v>
      </c>
      <c r="X61" s="25">
        <f>DATE(N61,O61,P61)</f>
        <v>22284</v>
      </c>
    </row>
    <row r="62" spans="1:24" x14ac:dyDescent="0.3">
      <c r="A62">
        <v>63</v>
      </c>
      <c r="B62" t="s">
        <v>38</v>
      </c>
      <c r="C62" t="s">
        <v>333</v>
      </c>
      <c r="D62" t="s">
        <v>105</v>
      </c>
      <c r="E62" t="s">
        <v>106</v>
      </c>
      <c r="F62" t="s">
        <v>247</v>
      </c>
      <c r="G62" t="s">
        <v>38</v>
      </c>
      <c r="H62" t="b">
        <v>1</v>
      </c>
      <c r="I62" t="s">
        <v>1803</v>
      </c>
      <c r="J62" s="30">
        <f ca="1">YEARFRAC(W62,X62,1)</f>
        <v>62.058189561514055</v>
      </c>
      <c r="K62" t="s">
        <v>334</v>
      </c>
      <c r="L62" s="32">
        <v>23500</v>
      </c>
      <c r="M62" s="27">
        <v>19910000000000</v>
      </c>
      <c r="N62">
        <v>1964</v>
      </c>
      <c r="O62">
        <v>9</v>
      </c>
      <c r="P62">
        <v>10</v>
      </c>
      <c r="Q62">
        <v>125.08</v>
      </c>
      <c r="R62">
        <v>77</v>
      </c>
      <c r="S62">
        <v>9.4</v>
      </c>
      <c r="T62">
        <v>59.2</v>
      </c>
      <c r="U62">
        <v>1397715000</v>
      </c>
      <c r="V62" s="30"/>
      <c r="W62" s="25">
        <f ca="1">TODAY()</f>
        <v>46297</v>
      </c>
      <c r="X62" s="25">
        <f>DATE(N62,O62,P62)</f>
        <v>23630</v>
      </c>
    </row>
    <row r="63" spans="1:24" x14ac:dyDescent="0.3">
      <c r="A63">
        <v>64</v>
      </c>
      <c r="B63" t="s">
        <v>250</v>
      </c>
      <c r="C63" t="s">
        <v>335</v>
      </c>
      <c r="D63" t="s">
        <v>105</v>
      </c>
      <c r="E63" t="s">
        <v>336</v>
      </c>
      <c r="F63" t="s">
        <v>337</v>
      </c>
      <c r="G63" t="s">
        <v>250</v>
      </c>
      <c r="H63" t="b">
        <v>1</v>
      </c>
      <c r="I63" t="s">
        <v>1803</v>
      </c>
      <c r="J63" s="30">
        <f ca="1">YEARFRAC(W63,X63,1)</f>
        <v>84.143045803001996</v>
      </c>
      <c r="K63" t="s">
        <v>339</v>
      </c>
      <c r="L63" s="32">
        <v>23400</v>
      </c>
      <c r="M63" s="27">
        <v>19910000000000</v>
      </c>
      <c r="N63">
        <v>1942</v>
      </c>
      <c r="O63">
        <v>8</v>
      </c>
      <c r="P63">
        <v>11</v>
      </c>
      <c r="Q63">
        <v>125.08</v>
      </c>
      <c r="R63">
        <v>77</v>
      </c>
      <c r="S63">
        <v>9.4</v>
      </c>
      <c r="T63">
        <v>59.2</v>
      </c>
      <c r="U63">
        <v>1397715000</v>
      </c>
      <c r="V63" s="30"/>
      <c r="W63" s="25">
        <f ca="1">TODAY()</f>
        <v>46297</v>
      </c>
      <c r="X63" s="25">
        <f>DATE(N63,O63,P63)</f>
        <v>15564</v>
      </c>
    </row>
    <row r="64" spans="1:24" x14ac:dyDescent="0.3">
      <c r="A64">
        <v>65</v>
      </c>
      <c r="B64" t="s">
        <v>272</v>
      </c>
      <c r="C64" t="s">
        <v>340</v>
      </c>
      <c r="D64" t="s">
        <v>341</v>
      </c>
      <c r="E64" t="s">
        <v>342</v>
      </c>
      <c r="F64" t="s">
        <v>276</v>
      </c>
      <c r="G64" t="s">
        <v>272</v>
      </c>
      <c r="H64" t="b">
        <v>0</v>
      </c>
      <c r="I64" t="s">
        <v>1804</v>
      </c>
      <c r="J64" s="30">
        <f ca="1">YEARFRAC(W64,X64,1)</f>
        <v>83.750855578370974</v>
      </c>
      <c r="K64" t="s">
        <v>344</v>
      </c>
      <c r="L64" s="32">
        <v>23100</v>
      </c>
      <c r="M64" s="27">
        <v>282318159745</v>
      </c>
      <c r="N64">
        <v>1943</v>
      </c>
      <c r="O64">
        <v>1</v>
      </c>
      <c r="P64">
        <v>1</v>
      </c>
      <c r="Q64">
        <v>131.91</v>
      </c>
      <c r="R64">
        <v>80</v>
      </c>
      <c r="S64">
        <v>18.2</v>
      </c>
      <c r="T64">
        <v>34</v>
      </c>
      <c r="U64">
        <v>18952038</v>
      </c>
      <c r="V64" s="30"/>
      <c r="W64" s="25">
        <f ca="1">TODAY()</f>
        <v>46297</v>
      </c>
      <c r="X64" s="25">
        <f>DATE(N64,O64,P64)</f>
        <v>15707</v>
      </c>
    </row>
    <row r="65" spans="1:24" x14ac:dyDescent="0.3">
      <c r="A65">
        <v>65</v>
      </c>
      <c r="B65" t="s">
        <v>250</v>
      </c>
      <c r="C65" t="s">
        <v>346</v>
      </c>
      <c r="D65" t="s">
        <v>294</v>
      </c>
      <c r="E65" t="s">
        <v>322</v>
      </c>
      <c r="F65" t="s">
        <v>323</v>
      </c>
      <c r="G65" t="s">
        <v>250</v>
      </c>
      <c r="H65" t="b">
        <v>0</v>
      </c>
      <c r="I65" t="s">
        <v>1803</v>
      </c>
      <c r="J65" s="30">
        <f ca="1">YEARFRAC(W65,X65,1)</f>
        <v>87.000684462696782</v>
      </c>
      <c r="K65" t="s">
        <v>64</v>
      </c>
      <c r="L65" s="32">
        <v>23100</v>
      </c>
      <c r="M65" s="27">
        <v>1119190780753</v>
      </c>
      <c r="N65">
        <v>1939</v>
      </c>
      <c r="O65">
        <v>10</v>
      </c>
      <c r="P65">
        <v>2</v>
      </c>
      <c r="Q65">
        <v>151.18</v>
      </c>
      <c r="R65">
        <v>71.5</v>
      </c>
      <c r="S65">
        <v>10.199999999999999</v>
      </c>
      <c r="T65">
        <v>30.1</v>
      </c>
      <c r="U65">
        <v>270203917</v>
      </c>
      <c r="V65" s="30"/>
      <c r="W65" s="25">
        <f ca="1">TODAY()</f>
        <v>46297</v>
      </c>
      <c r="X65" s="25">
        <f>DATE(N65,O65,P65)</f>
        <v>14520</v>
      </c>
    </row>
    <row r="66" spans="1:24" x14ac:dyDescent="0.3">
      <c r="A66">
        <v>67</v>
      </c>
      <c r="B66" t="s">
        <v>250</v>
      </c>
      <c r="C66" t="s">
        <v>347</v>
      </c>
      <c r="D66" t="s">
        <v>226</v>
      </c>
      <c r="E66" t="s">
        <v>227</v>
      </c>
      <c r="F66" t="s">
        <v>348</v>
      </c>
      <c r="G66" t="s">
        <v>250</v>
      </c>
      <c r="H66" t="b">
        <v>1</v>
      </c>
      <c r="I66" t="s">
        <v>1803</v>
      </c>
      <c r="J66" s="30">
        <f ca="1">YEARFRAC(W66,X66,1)</f>
        <v>73.750850969365104</v>
      </c>
      <c r="K66" t="s">
        <v>350</v>
      </c>
      <c r="L66" s="32">
        <v>22900</v>
      </c>
      <c r="M66" s="27">
        <v>2827113184696</v>
      </c>
      <c r="N66">
        <v>1953</v>
      </c>
      <c r="O66">
        <v>1</v>
      </c>
      <c r="P66">
        <v>1</v>
      </c>
      <c r="Q66">
        <v>119.62</v>
      </c>
      <c r="R66">
        <v>81.3</v>
      </c>
      <c r="S66">
        <v>25.5</v>
      </c>
      <c r="T66">
        <v>30.6</v>
      </c>
      <c r="U66">
        <v>66834405</v>
      </c>
      <c r="V66" s="30"/>
      <c r="W66" s="25">
        <f ca="1">TODAY()</f>
        <v>46297</v>
      </c>
      <c r="X66" s="25">
        <f>DATE(N66,O66,P66)</f>
        <v>19360</v>
      </c>
    </row>
    <row r="67" spans="1:24" x14ac:dyDescent="0.3">
      <c r="A67">
        <v>68</v>
      </c>
      <c r="B67" t="s">
        <v>351</v>
      </c>
      <c r="C67" t="s">
        <v>352</v>
      </c>
      <c r="D67" t="s">
        <v>74</v>
      </c>
      <c r="E67" t="s">
        <v>353</v>
      </c>
      <c r="F67" t="s">
        <v>354</v>
      </c>
      <c r="G67" t="s">
        <v>351</v>
      </c>
      <c r="H67" t="b">
        <v>0</v>
      </c>
      <c r="I67" t="s">
        <v>1803</v>
      </c>
      <c r="J67" s="30">
        <f ca="1">YEARFRAC(W67,X67,1)</f>
        <v>85.394925344624497</v>
      </c>
      <c r="K67" t="s">
        <v>356</v>
      </c>
      <c r="L67" s="32">
        <v>22600</v>
      </c>
      <c r="M67" s="27">
        <v>2611000000000</v>
      </c>
      <c r="N67">
        <v>1941</v>
      </c>
      <c r="O67">
        <v>5</v>
      </c>
      <c r="P67">
        <v>11</v>
      </c>
      <c r="Q67">
        <v>180.44</v>
      </c>
      <c r="R67">
        <v>69.400000000000006</v>
      </c>
      <c r="S67">
        <v>11.2</v>
      </c>
      <c r="T67">
        <v>49.7</v>
      </c>
      <c r="U67">
        <v>1366417754</v>
      </c>
      <c r="V67" s="30"/>
      <c r="W67" s="25">
        <f ca="1">TODAY()</f>
        <v>46297</v>
      </c>
      <c r="X67" s="25">
        <f>DATE(N67,O67,P67)</f>
        <v>15107</v>
      </c>
    </row>
    <row r="68" spans="1:24" x14ac:dyDescent="0.3">
      <c r="A68">
        <v>69</v>
      </c>
      <c r="B68" t="s">
        <v>65</v>
      </c>
      <c r="C68" t="s">
        <v>357</v>
      </c>
      <c r="D68" t="s">
        <v>219</v>
      </c>
      <c r="E68" t="s">
        <v>220</v>
      </c>
      <c r="F68" t="s">
        <v>358</v>
      </c>
      <c r="G68" t="s">
        <v>65</v>
      </c>
      <c r="H68" t="b">
        <v>1</v>
      </c>
      <c r="I68" t="s">
        <v>1803</v>
      </c>
      <c r="J68" s="30">
        <f ca="1">YEARFRAC(W68,X68,1)</f>
        <v>69.143035944772564</v>
      </c>
      <c r="K68" t="s">
        <v>360</v>
      </c>
      <c r="L68" s="32">
        <v>22400</v>
      </c>
      <c r="M68" s="27">
        <v>5081769542380</v>
      </c>
      <c r="N68">
        <v>1957</v>
      </c>
      <c r="O68">
        <v>8</v>
      </c>
      <c r="P68">
        <v>11</v>
      </c>
      <c r="Q68">
        <v>105.48</v>
      </c>
      <c r="R68">
        <v>84.2</v>
      </c>
      <c r="S68">
        <v>11.9</v>
      </c>
      <c r="T68">
        <v>46.7</v>
      </c>
      <c r="U68">
        <v>126226568</v>
      </c>
      <c r="V68" s="30"/>
      <c r="W68" s="25">
        <f ca="1">TODAY()</f>
        <v>46297</v>
      </c>
      <c r="X68" s="25">
        <f>DATE(N68,O68,P68)</f>
        <v>21043</v>
      </c>
    </row>
    <row r="69" spans="1:24" x14ac:dyDescent="0.3">
      <c r="A69">
        <v>70</v>
      </c>
      <c r="B69" t="s">
        <v>272</v>
      </c>
      <c r="C69" t="s">
        <v>361</v>
      </c>
      <c r="D69" t="s">
        <v>327</v>
      </c>
      <c r="E69" t="s">
        <v>328</v>
      </c>
      <c r="F69" t="s">
        <v>362</v>
      </c>
      <c r="G69" t="s">
        <v>272</v>
      </c>
      <c r="H69" t="b">
        <v>1</v>
      </c>
      <c r="I69" t="s">
        <v>1803</v>
      </c>
      <c r="J69" s="30">
        <f ca="1">YEARFRAC(W69,X69,1)</f>
        <v>70.403154282188709</v>
      </c>
      <c r="K69" t="s">
        <v>331</v>
      </c>
      <c r="L69" s="32">
        <v>22100</v>
      </c>
      <c r="M69" s="27">
        <v>1699876578871</v>
      </c>
      <c r="N69">
        <v>1956</v>
      </c>
      <c r="O69">
        <v>5</v>
      </c>
      <c r="P69">
        <v>7</v>
      </c>
      <c r="Q69">
        <v>180.75</v>
      </c>
      <c r="R69">
        <v>72.7</v>
      </c>
      <c r="S69">
        <v>11.4</v>
      </c>
      <c r="T69">
        <v>46.2</v>
      </c>
      <c r="U69">
        <v>144373535</v>
      </c>
      <c r="V69" s="30"/>
      <c r="W69" s="25">
        <f ca="1">TODAY()</f>
        <v>46297</v>
      </c>
      <c r="X69" s="25">
        <f>DATE(N69,O69,P69)</f>
        <v>20582</v>
      </c>
    </row>
    <row r="70" spans="1:24" x14ac:dyDescent="0.3">
      <c r="A70">
        <v>71</v>
      </c>
      <c r="B70" t="s">
        <v>103</v>
      </c>
      <c r="C70" t="s">
        <v>364</v>
      </c>
      <c r="D70" t="s">
        <v>23</v>
      </c>
      <c r="E70" t="s">
        <v>365</v>
      </c>
      <c r="F70" t="s">
        <v>366</v>
      </c>
      <c r="G70" t="s">
        <v>103</v>
      </c>
      <c r="H70" t="b">
        <v>0</v>
      </c>
      <c r="I70" t="s">
        <v>1803</v>
      </c>
      <c r="J70" s="30">
        <f ca="1">YEARFRAC(W70,X70,1)</f>
        <v>56.039002833949759</v>
      </c>
      <c r="K70" t="s">
        <v>368</v>
      </c>
      <c r="L70" s="32">
        <v>22000</v>
      </c>
      <c r="M70" s="27">
        <v>2715518274227</v>
      </c>
      <c r="N70">
        <v>1970</v>
      </c>
      <c r="O70">
        <v>9</v>
      </c>
      <c r="P70">
        <v>18</v>
      </c>
      <c r="Q70">
        <v>110.05</v>
      </c>
      <c r="R70">
        <v>82.5</v>
      </c>
      <c r="S70">
        <v>24.2</v>
      </c>
      <c r="T70">
        <v>60.7</v>
      </c>
      <c r="U70">
        <v>67059887</v>
      </c>
      <c r="V70" s="30"/>
      <c r="W70" s="25">
        <f ca="1">TODAY()</f>
        <v>46297</v>
      </c>
      <c r="X70" s="25">
        <f>DATE(N70,O70,P70)</f>
        <v>25829</v>
      </c>
    </row>
    <row r="71" spans="1:24" x14ac:dyDescent="0.3">
      <c r="A71">
        <v>72</v>
      </c>
      <c r="B71" t="s">
        <v>49</v>
      </c>
      <c r="C71" t="s">
        <v>369</v>
      </c>
      <c r="D71" t="s">
        <v>32</v>
      </c>
      <c r="E71" t="s">
        <v>370</v>
      </c>
      <c r="F71" t="s">
        <v>371</v>
      </c>
      <c r="G71" t="s">
        <v>49</v>
      </c>
      <c r="H71" t="b">
        <v>0</v>
      </c>
      <c r="I71" t="s">
        <v>1804</v>
      </c>
      <c r="J71" s="30">
        <f ca="1">YEARFRAC(W71,X71,1)</f>
        <v>64.78710694432921</v>
      </c>
      <c r="K71" t="s">
        <v>373</v>
      </c>
      <c r="L71" s="32">
        <v>21600</v>
      </c>
      <c r="M71" s="27">
        <v>21427700000000</v>
      </c>
      <c r="N71">
        <v>1961</v>
      </c>
      <c r="O71">
        <v>12</v>
      </c>
      <c r="P71">
        <v>19</v>
      </c>
      <c r="Q71">
        <v>117.24</v>
      </c>
      <c r="R71">
        <v>78.5</v>
      </c>
      <c r="S71">
        <v>9.6</v>
      </c>
      <c r="T71">
        <v>36.6</v>
      </c>
      <c r="U71">
        <v>328239523</v>
      </c>
      <c r="V71" s="30"/>
      <c r="W71" s="25">
        <f ca="1">TODAY()</f>
        <v>46297</v>
      </c>
      <c r="X71" s="25">
        <f>DATE(N71,O71,P71)</f>
        <v>22634</v>
      </c>
    </row>
    <row r="72" spans="1:24" x14ac:dyDescent="0.3">
      <c r="A72">
        <v>72</v>
      </c>
      <c r="B72" t="s">
        <v>292</v>
      </c>
      <c r="C72" t="s">
        <v>374</v>
      </c>
      <c r="D72" t="s">
        <v>327</v>
      </c>
      <c r="E72" t="s">
        <v>328</v>
      </c>
      <c r="F72" t="s">
        <v>375</v>
      </c>
      <c r="G72" t="s">
        <v>292</v>
      </c>
      <c r="H72" t="b">
        <v>1</v>
      </c>
      <c r="I72" t="s">
        <v>1803</v>
      </c>
      <c r="J72" s="30">
        <f ca="1">YEARFRAC(W72,X72,1)</f>
        <v>71.143052703627646</v>
      </c>
      <c r="K72" t="s">
        <v>377</v>
      </c>
      <c r="L72" s="32">
        <v>21600</v>
      </c>
      <c r="M72" s="27">
        <v>1699876578871</v>
      </c>
      <c r="N72">
        <v>1955</v>
      </c>
      <c r="O72">
        <v>8</v>
      </c>
      <c r="P72">
        <v>11</v>
      </c>
      <c r="Q72">
        <v>180.75</v>
      </c>
      <c r="R72">
        <v>72.7</v>
      </c>
      <c r="S72">
        <v>11.4</v>
      </c>
      <c r="T72">
        <v>46.2</v>
      </c>
      <c r="U72">
        <v>144373535</v>
      </c>
      <c r="V72" s="30"/>
      <c r="W72" s="25">
        <f ca="1">TODAY()</f>
        <v>46297</v>
      </c>
      <c r="X72" s="25">
        <f>DATE(N72,O72,P72)</f>
        <v>20312</v>
      </c>
    </row>
    <row r="73" spans="1:24" x14ac:dyDescent="0.3">
      <c r="A73">
        <v>74</v>
      </c>
      <c r="B73" t="s">
        <v>21</v>
      </c>
      <c r="C73" t="s">
        <v>378</v>
      </c>
      <c r="D73" t="s">
        <v>32</v>
      </c>
      <c r="E73" t="s">
        <v>379</v>
      </c>
      <c r="F73" t="s">
        <v>124</v>
      </c>
      <c r="G73" t="s">
        <v>21</v>
      </c>
      <c r="H73" t="b">
        <v>0</v>
      </c>
      <c r="I73" t="s">
        <v>1803</v>
      </c>
      <c r="J73" s="30">
        <f ca="1">YEARFRAC(W73,X73,1)</f>
        <v>40.036260434056757</v>
      </c>
      <c r="K73" t="s">
        <v>380</v>
      </c>
      <c r="L73" s="32">
        <v>21200</v>
      </c>
      <c r="M73" s="27">
        <v>21427700000000</v>
      </c>
      <c r="N73">
        <v>1986</v>
      </c>
      <c r="O73">
        <v>9</v>
      </c>
      <c r="P73">
        <v>19</v>
      </c>
      <c r="Q73">
        <v>117.24</v>
      </c>
      <c r="R73">
        <v>78.5</v>
      </c>
      <c r="S73">
        <v>9.6</v>
      </c>
      <c r="T73">
        <v>36.6</v>
      </c>
      <c r="U73">
        <v>328239523</v>
      </c>
      <c r="V73" s="30"/>
      <c r="W73" s="25">
        <f ca="1">TODAY()</f>
        <v>46297</v>
      </c>
      <c r="X73" s="25">
        <f>DATE(N73,O73,P73)</f>
        <v>31674</v>
      </c>
    </row>
    <row r="74" spans="1:24" x14ac:dyDescent="0.3">
      <c r="A74">
        <v>74</v>
      </c>
      <c r="B74" t="s">
        <v>381</v>
      </c>
      <c r="C74" t="s">
        <v>382</v>
      </c>
      <c r="D74" t="s">
        <v>105</v>
      </c>
      <c r="E74" t="s">
        <v>192</v>
      </c>
      <c r="F74" t="s">
        <v>383</v>
      </c>
      <c r="G74" t="s">
        <v>381</v>
      </c>
      <c r="H74" t="b">
        <v>1</v>
      </c>
      <c r="I74" t="s">
        <v>1803</v>
      </c>
      <c r="J74" s="30">
        <f ca="1">YEARFRAC(W74,X74,1)</f>
        <v>56.003410346318269</v>
      </c>
      <c r="K74" t="s">
        <v>385</v>
      </c>
      <c r="L74" s="32">
        <v>21200</v>
      </c>
      <c r="M74" s="27">
        <v>19910000000000</v>
      </c>
      <c r="N74">
        <v>1970</v>
      </c>
      <c r="O74">
        <v>10</v>
      </c>
      <c r="P74">
        <v>1</v>
      </c>
      <c r="Q74">
        <v>125.08</v>
      </c>
      <c r="R74">
        <v>77</v>
      </c>
      <c r="S74">
        <v>9.4</v>
      </c>
      <c r="T74">
        <v>59.2</v>
      </c>
      <c r="U74">
        <v>1397715000</v>
      </c>
      <c r="V74" s="30"/>
      <c r="W74" s="25">
        <f ca="1">TODAY()</f>
        <v>46297</v>
      </c>
      <c r="X74" s="25">
        <f>DATE(N74,O74,P74)</f>
        <v>25842</v>
      </c>
    </row>
    <row r="75" spans="1:24" x14ac:dyDescent="0.3">
      <c r="A75">
        <v>76</v>
      </c>
      <c r="B75" t="s">
        <v>38</v>
      </c>
      <c r="C75" t="s">
        <v>386</v>
      </c>
      <c r="D75" t="s">
        <v>32</v>
      </c>
      <c r="E75" t="s">
        <v>100</v>
      </c>
      <c r="F75" t="s">
        <v>387</v>
      </c>
      <c r="G75" t="s">
        <v>38</v>
      </c>
      <c r="H75" t="b">
        <v>1</v>
      </c>
      <c r="I75" t="s">
        <v>1803</v>
      </c>
      <c r="J75" s="30">
        <f ca="1">YEARFRAC(W75,X75,1)</f>
        <v>63.622176591375769</v>
      </c>
      <c r="K75" t="s">
        <v>388</v>
      </c>
      <c r="L75" s="32">
        <v>21100</v>
      </c>
      <c r="M75" s="27">
        <v>21427700000000</v>
      </c>
      <c r="N75">
        <v>1963</v>
      </c>
      <c r="O75">
        <v>2</v>
      </c>
      <c r="P75">
        <v>17</v>
      </c>
      <c r="Q75">
        <v>117.24</v>
      </c>
      <c r="R75">
        <v>78.5</v>
      </c>
      <c r="S75">
        <v>9.6</v>
      </c>
      <c r="T75">
        <v>36.6</v>
      </c>
      <c r="U75">
        <v>328239523</v>
      </c>
      <c r="V75" s="30"/>
      <c r="W75" s="25">
        <f ca="1">TODAY()</f>
        <v>46297</v>
      </c>
      <c r="X75" s="25">
        <f>DATE(N75,O75,P75)</f>
        <v>23059</v>
      </c>
    </row>
    <row r="76" spans="1:24" x14ac:dyDescent="0.3">
      <c r="A76">
        <v>77</v>
      </c>
      <c r="B76" t="s">
        <v>21</v>
      </c>
      <c r="C76" t="s">
        <v>389</v>
      </c>
      <c r="D76" t="s">
        <v>32</v>
      </c>
      <c r="E76" t="s">
        <v>61</v>
      </c>
      <c r="F76" t="s">
        <v>390</v>
      </c>
      <c r="G76" t="s">
        <v>21</v>
      </c>
      <c r="H76" t="b">
        <v>0</v>
      </c>
      <c r="I76" t="s">
        <v>1803</v>
      </c>
      <c r="J76" s="30">
        <f ca="1">YEARFRAC(W76,X76,1)</f>
        <v>93.540034369265726</v>
      </c>
      <c r="K76" t="s">
        <v>392</v>
      </c>
      <c r="L76" s="32">
        <v>21000</v>
      </c>
      <c r="M76" s="27">
        <v>21427700000000</v>
      </c>
      <c r="N76">
        <v>1933</v>
      </c>
      <c r="O76">
        <v>3</v>
      </c>
      <c r="P76">
        <v>19</v>
      </c>
      <c r="Q76">
        <v>117.24</v>
      </c>
      <c r="R76">
        <v>78.5</v>
      </c>
      <c r="S76">
        <v>9.6</v>
      </c>
      <c r="T76">
        <v>36.6</v>
      </c>
      <c r="U76">
        <v>328239523</v>
      </c>
      <c r="V76" s="30"/>
      <c r="W76" s="25">
        <f ca="1">TODAY()</f>
        <v>46297</v>
      </c>
      <c r="X76" s="25">
        <f>DATE(N76,O76,P76)</f>
        <v>12132</v>
      </c>
    </row>
    <row r="77" spans="1:24" x14ac:dyDescent="0.3">
      <c r="A77">
        <v>77</v>
      </c>
      <c r="B77" t="s">
        <v>250</v>
      </c>
      <c r="C77" t="s">
        <v>393</v>
      </c>
      <c r="D77" t="s">
        <v>219</v>
      </c>
      <c r="E77" t="s">
        <v>394</v>
      </c>
      <c r="F77" t="s">
        <v>395</v>
      </c>
      <c r="G77" t="s">
        <v>250</v>
      </c>
      <c r="H77" t="b">
        <v>1</v>
      </c>
      <c r="I77" t="s">
        <v>1803</v>
      </c>
      <c r="J77" s="30">
        <f ca="1">YEARFRAC(W77,X77,1)</f>
        <v>81.312787979966615</v>
      </c>
      <c r="K77" t="s">
        <v>397</v>
      </c>
      <c r="L77" s="32">
        <v>21000</v>
      </c>
      <c r="M77" s="27">
        <v>5081769542380</v>
      </c>
      <c r="N77">
        <v>1945</v>
      </c>
      <c r="O77">
        <v>6</v>
      </c>
      <c r="P77">
        <v>10</v>
      </c>
      <c r="Q77">
        <v>105.48</v>
      </c>
      <c r="R77">
        <v>84.2</v>
      </c>
      <c r="S77">
        <v>11.9</v>
      </c>
      <c r="T77">
        <v>46.7</v>
      </c>
      <c r="U77">
        <v>126226568</v>
      </c>
      <c r="V77" s="30"/>
      <c r="W77" s="25">
        <f ca="1">TODAY()</f>
        <v>46297</v>
      </c>
      <c r="X77" s="25">
        <f>DATE(N77,O77,P77)</f>
        <v>16598</v>
      </c>
    </row>
    <row r="78" spans="1:24" x14ac:dyDescent="0.3">
      <c r="A78">
        <v>79</v>
      </c>
      <c r="B78" t="s">
        <v>272</v>
      </c>
      <c r="C78" t="s">
        <v>398</v>
      </c>
      <c r="D78" t="s">
        <v>327</v>
      </c>
      <c r="E78" t="s">
        <v>328</v>
      </c>
      <c r="F78" t="s">
        <v>399</v>
      </c>
      <c r="G78" t="s">
        <v>272</v>
      </c>
      <c r="H78" t="b">
        <v>1</v>
      </c>
      <c r="I78" t="s">
        <v>1803</v>
      </c>
      <c r="J78" s="30">
        <f ca="1">YEARFRAC(W78,X78,1)</f>
        <v>61.017089865312428</v>
      </c>
      <c r="K78" t="s">
        <v>401</v>
      </c>
      <c r="L78" s="32">
        <v>20900</v>
      </c>
      <c r="M78" s="27">
        <v>1699876578871</v>
      </c>
      <c r="N78">
        <v>1965</v>
      </c>
      <c r="O78">
        <v>9</v>
      </c>
      <c r="P78">
        <v>26</v>
      </c>
      <c r="Q78">
        <v>180.75</v>
      </c>
      <c r="R78">
        <v>72.7</v>
      </c>
      <c r="S78">
        <v>11.4</v>
      </c>
      <c r="T78">
        <v>46.2</v>
      </c>
      <c r="U78">
        <v>144373535</v>
      </c>
      <c r="V78" s="30"/>
      <c r="W78" s="25">
        <f ca="1">TODAY()</f>
        <v>46297</v>
      </c>
      <c r="X78" s="25">
        <f>DATE(N78,O78,P78)</f>
        <v>24011</v>
      </c>
    </row>
    <row r="79" spans="1:24" x14ac:dyDescent="0.3">
      <c r="A79">
        <v>80</v>
      </c>
      <c r="B79" t="s">
        <v>292</v>
      </c>
      <c r="C79" t="s">
        <v>402</v>
      </c>
      <c r="D79" t="s">
        <v>327</v>
      </c>
      <c r="E79" t="s">
        <v>328</v>
      </c>
      <c r="F79" t="s">
        <v>403</v>
      </c>
      <c r="G79" t="s">
        <v>292</v>
      </c>
      <c r="H79" t="b">
        <v>1</v>
      </c>
      <c r="I79" t="s">
        <v>1803</v>
      </c>
      <c r="J79" s="30">
        <f ca="1">YEARFRAC(W79,X79,1)</f>
        <v>76.085549708434073</v>
      </c>
      <c r="K79" t="s">
        <v>405</v>
      </c>
      <c r="L79" s="32">
        <v>20500</v>
      </c>
      <c r="M79" s="27">
        <v>1699876578871</v>
      </c>
      <c r="N79">
        <v>1950</v>
      </c>
      <c r="O79">
        <v>9</v>
      </c>
      <c r="P79">
        <v>1</v>
      </c>
      <c r="Q79">
        <v>180.75</v>
      </c>
      <c r="R79">
        <v>72.7</v>
      </c>
      <c r="S79">
        <v>11.4</v>
      </c>
      <c r="T79">
        <v>46.2</v>
      </c>
      <c r="U79">
        <v>144373535</v>
      </c>
      <c r="V79" s="30"/>
      <c r="W79" s="25">
        <f ca="1">TODAY()</f>
        <v>46297</v>
      </c>
      <c r="X79" s="25">
        <f>DATE(N79,O79,P79)</f>
        <v>18507</v>
      </c>
    </row>
    <row r="80" spans="1:24" x14ac:dyDescent="0.3">
      <c r="A80">
        <v>81</v>
      </c>
      <c r="B80" t="s">
        <v>351</v>
      </c>
      <c r="C80" t="s">
        <v>406</v>
      </c>
      <c r="D80" t="s">
        <v>32</v>
      </c>
      <c r="E80" t="s">
        <v>407</v>
      </c>
      <c r="F80" t="s">
        <v>408</v>
      </c>
      <c r="G80" t="s">
        <v>351</v>
      </c>
      <c r="H80" t="b">
        <v>1</v>
      </c>
      <c r="I80" t="s">
        <v>1803</v>
      </c>
      <c r="J80" s="30">
        <f ca="1">YEARFRAC(W80,X80,1)</f>
        <v>88.140308241301881</v>
      </c>
      <c r="K80" t="s">
        <v>304</v>
      </c>
      <c r="L80" s="32">
        <v>20200</v>
      </c>
      <c r="M80" s="27">
        <v>21427700000000</v>
      </c>
      <c r="N80">
        <v>1938</v>
      </c>
      <c r="O80">
        <v>8</v>
      </c>
      <c r="P80">
        <v>12</v>
      </c>
      <c r="Q80">
        <v>117.24</v>
      </c>
      <c r="R80">
        <v>78.5</v>
      </c>
      <c r="S80">
        <v>9.6</v>
      </c>
      <c r="T80">
        <v>36.6</v>
      </c>
      <c r="U80">
        <v>328239523</v>
      </c>
      <c r="V80" s="30"/>
      <c r="W80" s="25">
        <f ca="1">TODAY()</f>
        <v>46297</v>
      </c>
      <c r="X80" s="25">
        <f>DATE(N80,O80,P80)</f>
        <v>14104</v>
      </c>
    </row>
    <row r="81" spans="1:24" x14ac:dyDescent="0.3">
      <c r="A81">
        <v>82</v>
      </c>
      <c r="B81" t="s">
        <v>272</v>
      </c>
      <c r="C81" t="s">
        <v>410</v>
      </c>
      <c r="D81" t="s">
        <v>274</v>
      </c>
      <c r="E81" t="s">
        <v>275</v>
      </c>
      <c r="F81" t="s">
        <v>276</v>
      </c>
      <c r="G81" t="s">
        <v>272</v>
      </c>
      <c r="H81" t="b">
        <v>1</v>
      </c>
      <c r="I81" t="s">
        <v>1803</v>
      </c>
      <c r="J81" s="30">
        <f ca="1">YEARFRAC(W81,X81,1)</f>
        <v>64.871982079150413</v>
      </c>
      <c r="K81" t="s">
        <v>412</v>
      </c>
      <c r="L81" s="32">
        <v>19600</v>
      </c>
      <c r="M81" s="27">
        <v>1392680589329</v>
      </c>
      <c r="N81">
        <v>1961</v>
      </c>
      <c r="O81">
        <v>11</v>
      </c>
      <c r="P81">
        <v>18</v>
      </c>
      <c r="Q81">
        <v>119.8</v>
      </c>
      <c r="R81">
        <v>82.7</v>
      </c>
      <c r="S81">
        <v>23</v>
      </c>
      <c r="T81">
        <v>47.4</v>
      </c>
      <c r="U81">
        <v>25766605</v>
      </c>
      <c r="V81" s="30"/>
      <c r="W81" s="25">
        <f ca="1">TODAY()</f>
        <v>46297</v>
      </c>
      <c r="X81" s="25">
        <f>DATE(N81,O81,P81)</f>
        <v>22603</v>
      </c>
    </row>
    <row r="82" spans="1:24" x14ac:dyDescent="0.3">
      <c r="A82">
        <v>83</v>
      </c>
      <c r="B82" t="s">
        <v>49</v>
      </c>
      <c r="C82" t="s">
        <v>413</v>
      </c>
      <c r="D82" t="s">
        <v>32</v>
      </c>
      <c r="E82" t="s">
        <v>414</v>
      </c>
      <c r="F82" t="s">
        <v>204</v>
      </c>
      <c r="G82" t="s">
        <v>49</v>
      </c>
      <c r="H82" t="b">
        <v>1</v>
      </c>
      <c r="I82" t="s">
        <v>1803</v>
      </c>
      <c r="J82" s="30">
        <f ca="1">YEARFRAC(W82,X82,1)</f>
        <v>77.151251360174101</v>
      </c>
      <c r="K82" t="s">
        <v>416</v>
      </c>
      <c r="L82" s="32">
        <v>19100</v>
      </c>
      <c r="M82" s="27">
        <v>21427700000000</v>
      </c>
      <c r="N82">
        <v>1949</v>
      </c>
      <c r="O82">
        <v>8</v>
      </c>
      <c r="P82">
        <v>8</v>
      </c>
      <c r="Q82">
        <v>117.24</v>
      </c>
      <c r="R82">
        <v>78.5</v>
      </c>
      <c r="S82">
        <v>9.6</v>
      </c>
      <c r="T82">
        <v>36.6</v>
      </c>
      <c r="U82">
        <v>328239523</v>
      </c>
      <c r="V82" s="30"/>
      <c r="W82" s="25">
        <f ca="1">TODAY()</f>
        <v>46297</v>
      </c>
      <c r="X82" s="25">
        <f>DATE(N82,O82,P82)</f>
        <v>18118</v>
      </c>
    </row>
    <row r="83" spans="1:24" x14ac:dyDescent="0.3">
      <c r="A83">
        <v>84</v>
      </c>
      <c r="B83" t="s">
        <v>30</v>
      </c>
      <c r="C83" t="s">
        <v>417</v>
      </c>
      <c r="D83" t="s">
        <v>105</v>
      </c>
      <c r="E83" t="s">
        <v>106</v>
      </c>
      <c r="F83" t="s">
        <v>418</v>
      </c>
      <c r="G83" t="s">
        <v>30</v>
      </c>
      <c r="H83" t="b">
        <v>1</v>
      </c>
      <c r="I83" t="s">
        <v>1803</v>
      </c>
      <c r="J83" s="30">
        <f ca="1">YEARFRAC(W83,X83,1)</f>
        <v>63.337440109514034</v>
      </c>
      <c r="K83" t="s">
        <v>420</v>
      </c>
      <c r="L83" s="32">
        <v>19000</v>
      </c>
      <c r="M83" s="27">
        <v>19910000000000</v>
      </c>
      <c r="N83">
        <v>1963</v>
      </c>
      <c r="O83">
        <v>6</v>
      </c>
      <c r="P83">
        <v>1</v>
      </c>
      <c r="Q83">
        <v>125.08</v>
      </c>
      <c r="R83">
        <v>77</v>
      </c>
      <c r="S83">
        <v>9.4</v>
      </c>
      <c r="T83">
        <v>59.2</v>
      </c>
      <c r="U83">
        <v>1397715000</v>
      </c>
      <c r="V83" s="30"/>
      <c r="W83" s="25">
        <f ca="1">TODAY()</f>
        <v>46297</v>
      </c>
      <c r="X83" s="25">
        <f>DATE(N83,O83,P83)</f>
        <v>23163</v>
      </c>
    </row>
    <row r="84" spans="1:24" x14ac:dyDescent="0.3">
      <c r="A84">
        <v>84</v>
      </c>
      <c r="B84" t="s">
        <v>272</v>
      </c>
      <c r="C84" t="s">
        <v>421</v>
      </c>
      <c r="D84" t="s">
        <v>105</v>
      </c>
      <c r="E84" t="s">
        <v>192</v>
      </c>
      <c r="F84" t="s">
        <v>422</v>
      </c>
      <c r="G84" t="s">
        <v>272</v>
      </c>
      <c r="H84" t="b">
        <v>1</v>
      </c>
      <c r="I84" t="s">
        <v>1803</v>
      </c>
      <c r="J84" s="30">
        <f ca="1">YEARFRAC(W84,X84,1)</f>
        <v>58.586589327146172</v>
      </c>
      <c r="K84" t="s">
        <v>423</v>
      </c>
      <c r="L84" s="32">
        <v>19000</v>
      </c>
      <c r="M84" s="27">
        <v>19910000000000</v>
      </c>
      <c r="N84">
        <v>1968</v>
      </c>
      <c r="O84">
        <v>3</v>
      </c>
      <c r="P84">
        <v>1</v>
      </c>
      <c r="Q84">
        <v>125.08</v>
      </c>
      <c r="R84">
        <v>77</v>
      </c>
      <c r="S84">
        <v>9.4</v>
      </c>
      <c r="T84">
        <v>59.2</v>
      </c>
      <c r="U84">
        <v>1397715000</v>
      </c>
      <c r="V84" s="30"/>
      <c r="W84" s="25">
        <f ca="1">TODAY()</f>
        <v>46297</v>
      </c>
      <c r="X84" s="25">
        <f>DATE(N84,O84,P84)</f>
        <v>24898</v>
      </c>
    </row>
    <row r="85" spans="1:24" x14ac:dyDescent="0.3">
      <c r="A85">
        <v>86</v>
      </c>
      <c r="B85" t="s">
        <v>103</v>
      </c>
      <c r="C85" t="s">
        <v>424</v>
      </c>
      <c r="D85" t="s">
        <v>105</v>
      </c>
      <c r="E85" t="s">
        <v>425</v>
      </c>
      <c r="F85" t="s">
        <v>426</v>
      </c>
      <c r="G85" t="s">
        <v>103</v>
      </c>
      <c r="H85" t="b">
        <v>1</v>
      </c>
      <c r="I85" t="s">
        <v>1803</v>
      </c>
      <c r="J85" s="30">
        <f ca="1">YEARFRAC(W85,X85,1)</f>
        <v>61.460631485979242</v>
      </c>
      <c r="K85" t="s">
        <v>428</v>
      </c>
      <c r="L85" s="32">
        <v>18900</v>
      </c>
      <c r="M85" s="27">
        <v>19910000000000</v>
      </c>
      <c r="N85">
        <v>1965</v>
      </c>
      <c r="O85">
        <v>4</v>
      </c>
      <c r="P85">
        <v>17</v>
      </c>
      <c r="Q85">
        <v>125.08</v>
      </c>
      <c r="R85">
        <v>77</v>
      </c>
      <c r="S85">
        <v>9.4</v>
      </c>
      <c r="T85">
        <v>59.2</v>
      </c>
      <c r="U85">
        <v>1397715000</v>
      </c>
      <c r="V85" s="30"/>
      <c r="W85" s="25">
        <f ca="1">TODAY()</f>
        <v>46297</v>
      </c>
      <c r="X85" s="25">
        <f>DATE(N85,O85,P85)</f>
        <v>23849</v>
      </c>
    </row>
    <row r="86" spans="1:24" x14ac:dyDescent="0.3">
      <c r="A86">
        <v>88</v>
      </c>
      <c r="B86" t="s">
        <v>30</v>
      </c>
      <c r="C86" t="s">
        <v>429</v>
      </c>
      <c r="D86" t="s">
        <v>105</v>
      </c>
      <c r="E86" t="s">
        <v>192</v>
      </c>
      <c r="F86" t="s">
        <v>430</v>
      </c>
      <c r="G86" t="s">
        <v>30</v>
      </c>
      <c r="H86" t="b">
        <v>1</v>
      </c>
      <c r="I86" t="s">
        <v>1803</v>
      </c>
      <c r="J86" s="30">
        <f ca="1">YEARFRAC(W86,X86,1)</f>
        <v>60.627648114901255</v>
      </c>
      <c r="K86" t="s">
        <v>431</v>
      </c>
      <c r="L86" s="32">
        <v>18700</v>
      </c>
      <c r="M86" s="27">
        <v>19910000000000</v>
      </c>
      <c r="N86">
        <v>1966</v>
      </c>
      <c r="O86">
        <v>2</v>
      </c>
      <c r="P86">
        <v>15</v>
      </c>
      <c r="Q86">
        <v>125.08</v>
      </c>
      <c r="R86">
        <v>77</v>
      </c>
      <c r="S86">
        <v>9.4</v>
      </c>
      <c r="T86">
        <v>59.2</v>
      </c>
      <c r="U86">
        <v>1397715000</v>
      </c>
      <c r="V86" s="30"/>
      <c r="W86" s="25">
        <f ca="1">TODAY()</f>
        <v>46297</v>
      </c>
      <c r="X86" s="25">
        <f>DATE(N86,O86,P86)</f>
        <v>24153</v>
      </c>
    </row>
    <row r="87" spans="1:24" x14ac:dyDescent="0.3">
      <c r="A87">
        <v>89</v>
      </c>
      <c r="B87" t="s">
        <v>292</v>
      </c>
      <c r="C87" t="s">
        <v>432</v>
      </c>
      <c r="D87" t="s">
        <v>32</v>
      </c>
      <c r="E87" t="s">
        <v>433</v>
      </c>
      <c r="F87" t="s">
        <v>434</v>
      </c>
      <c r="G87" t="s">
        <v>292</v>
      </c>
      <c r="H87" t="b">
        <v>1</v>
      </c>
      <c r="I87" t="s">
        <v>1803</v>
      </c>
      <c r="J87" s="30">
        <f ca="1">YEARFRAC(W87,X87,1)</f>
        <v>80.809015025041731</v>
      </c>
      <c r="K87" t="s">
        <v>436</v>
      </c>
      <c r="L87" s="32">
        <v>18500</v>
      </c>
      <c r="M87" s="27">
        <v>21427700000000</v>
      </c>
      <c r="N87">
        <v>1945</v>
      </c>
      <c r="O87">
        <v>12</v>
      </c>
      <c r="P87">
        <v>11</v>
      </c>
      <c r="Q87">
        <v>117.24</v>
      </c>
      <c r="R87">
        <v>78.5</v>
      </c>
      <c r="S87">
        <v>9.6</v>
      </c>
      <c r="T87">
        <v>36.6</v>
      </c>
      <c r="U87">
        <v>328239523</v>
      </c>
      <c r="V87" s="30"/>
      <c r="W87" s="25">
        <f ca="1">TODAY()</f>
        <v>46297</v>
      </c>
      <c r="X87" s="25">
        <f>DATE(N87,O87,P87)</f>
        <v>16782</v>
      </c>
    </row>
    <row r="88" spans="1:24" x14ac:dyDescent="0.3">
      <c r="A88">
        <v>89</v>
      </c>
      <c r="B88" t="s">
        <v>49</v>
      </c>
      <c r="C88" t="s">
        <v>437</v>
      </c>
      <c r="D88" t="s">
        <v>32</v>
      </c>
      <c r="E88" t="s">
        <v>301</v>
      </c>
      <c r="F88" t="s">
        <v>204</v>
      </c>
      <c r="G88" t="s">
        <v>49</v>
      </c>
      <c r="H88" t="b">
        <v>1</v>
      </c>
      <c r="I88" t="s">
        <v>1803</v>
      </c>
      <c r="J88" s="30">
        <f ca="1">YEARFRAC(W88,X88,1)</f>
        <v>69.05816091054875</v>
      </c>
      <c r="K88" t="s">
        <v>137</v>
      </c>
      <c r="L88" s="32">
        <v>18500</v>
      </c>
      <c r="M88" s="27">
        <v>21427700000000</v>
      </c>
      <c r="N88">
        <v>1957</v>
      </c>
      <c r="O88">
        <v>9</v>
      </c>
      <c r="P88">
        <v>11</v>
      </c>
      <c r="Q88">
        <v>117.24</v>
      </c>
      <c r="R88">
        <v>78.5</v>
      </c>
      <c r="S88">
        <v>9.6</v>
      </c>
      <c r="T88">
        <v>36.6</v>
      </c>
      <c r="U88">
        <v>328239523</v>
      </c>
      <c r="V88" s="30"/>
      <c r="W88" s="25">
        <f ca="1">TODAY()</f>
        <v>46297</v>
      </c>
      <c r="X88" s="25">
        <f>DATE(N88,O88,P88)</f>
        <v>21074</v>
      </c>
    </row>
    <row r="89" spans="1:24" x14ac:dyDescent="0.3">
      <c r="A89">
        <v>89</v>
      </c>
      <c r="B89" t="s">
        <v>292</v>
      </c>
      <c r="C89" t="s">
        <v>439</v>
      </c>
      <c r="D89" t="s">
        <v>327</v>
      </c>
      <c r="E89" t="s">
        <v>328</v>
      </c>
      <c r="F89" t="s">
        <v>440</v>
      </c>
      <c r="G89" t="s">
        <v>292</v>
      </c>
      <c r="H89" t="b">
        <v>1</v>
      </c>
      <c r="I89" t="s">
        <v>1803</v>
      </c>
      <c r="J89" s="30">
        <f ca="1">YEARFRAC(W89,X89,1)</f>
        <v>73.893918376286777</v>
      </c>
      <c r="K89" t="s">
        <v>442</v>
      </c>
      <c r="L89" s="32">
        <v>18500</v>
      </c>
      <c r="M89" s="27">
        <v>1699876578871</v>
      </c>
      <c r="N89">
        <v>1952</v>
      </c>
      <c r="O89">
        <v>11</v>
      </c>
      <c r="P89">
        <v>9</v>
      </c>
      <c r="Q89">
        <v>180.75</v>
      </c>
      <c r="R89">
        <v>72.7</v>
      </c>
      <c r="S89">
        <v>11.4</v>
      </c>
      <c r="T89">
        <v>46.2</v>
      </c>
      <c r="U89">
        <v>144373535</v>
      </c>
      <c r="V89" s="30"/>
      <c r="W89" s="25">
        <f ca="1">TODAY()</f>
        <v>46297</v>
      </c>
      <c r="X89" s="25">
        <f>DATE(N89,O89,P89)</f>
        <v>19307</v>
      </c>
    </row>
    <row r="90" spans="1:24" x14ac:dyDescent="0.3">
      <c r="A90">
        <v>92</v>
      </c>
      <c r="B90" t="s">
        <v>49</v>
      </c>
      <c r="C90" t="s">
        <v>443</v>
      </c>
      <c r="D90" t="s">
        <v>32</v>
      </c>
      <c r="E90" t="s">
        <v>444</v>
      </c>
      <c r="F90" t="s">
        <v>445</v>
      </c>
      <c r="G90" t="s">
        <v>49</v>
      </c>
      <c r="H90" t="b">
        <v>1</v>
      </c>
      <c r="I90" t="s">
        <v>1803</v>
      </c>
      <c r="J90" s="30">
        <f ca="1">YEARFRAC(W90,X90,1)</f>
        <v>64.707046880923301</v>
      </c>
      <c r="K90" t="s">
        <v>447</v>
      </c>
      <c r="L90" s="32">
        <v>18000</v>
      </c>
      <c r="M90" s="27">
        <v>21427700000000</v>
      </c>
      <c r="N90">
        <v>1962</v>
      </c>
      <c r="O90">
        <v>1</v>
      </c>
      <c r="P90">
        <v>17</v>
      </c>
      <c r="Q90">
        <v>117.24</v>
      </c>
      <c r="R90">
        <v>78.5</v>
      </c>
      <c r="S90">
        <v>9.6</v>
      </c>
      <c r="T90">
        <v>36.6</v>
      </c>
      <c r="U90">
        <v>328239523</v>
      </c>
      <c r="V90" s="30"/>
      <c r="W90" s="25">
        <f ca="1">TODAY()</f>
        <v>46297</v>
      </c>
      <c r="X90" s="25">
        <f>DATE(N90,O90,P90)</f>
        <v>22663</v>
      </c>
    </row>
    <row r="91" spans="1:24" x14ac:dyDescent="0.3">
      <c r="A91">
        <v>93</v>
      </c>
      <c r="B91" t="s">
        <v>272</v>
      </c>
      <c r="C91" t="s">
        <v>448</v>
      </c>
      <c r="D91" t="s">
        <v>226</v>
      </c>
      <c r="E91" t="s">
        <v>227</v>
      </c>
      <c r="F91" t="s">
        <v>449</v>
      </c>
      <c r="G91" t="s">
        <v>272</v>
      </c>
      <c r="H91" t="b">
        <v>0</v>
      </c>
      <c r="I91" t="s">
        <v>1803</v>
      </c>
      <c r="J91" s="30">
        <f ca="1">YEARFRAC(W91,X91,1)</f>
        <v>76.299103968141083</v>
      </c>
      <c r="K91" t="s">
        <v>451</v>
      </c>
      <c r="L91" s="32">
        <v>17700</v>
      </c>
      <c r="M91" s="27">
        <v>2827113184696</v>
      </c>
      <c r="N91">
        <v>1950</v>
      </c>
      <c r="O91">
        <v>6</v>
      </c>
      <c r="P91">
        <v>15</v>
      </c>
      <c r="Q91">
        <v>119.62</v>
      </c>
      <c r="R91">
        <v>81.3</v>
      </c>
      <c r="S91">
        <v>25.5</v>
      </c>
      <c r="T91">
        <v>30.6</v>
      </c>
      <c r="U91">
        <v>66834405</v>
      </c>
      <c r="V91" s="30"/>
      <c r="W91" s="25">
        <f ca="1">TODAY()</f>
        <v>46297</v>
      </c>
      <c r="X91" s="25">
        <f>DATE(N91,O91,P91)</f>
        <v>18429</v>
      </c>
    </row>
    <row r="92" spans="1:24" x14ac:dyDescent="0.3">
      <c r="A92">
        <v>94</v>
      </c>
      <c r="B92" t="s">
        <v>49</v>
      </c>
      <c r="C92" t="s">
        <v>452</v>
      </c>
      <c r="D92" t="s">
        <v>32</v>
      </c>
      <c r="E92" t="s">
        <v>414</v>
      </c>
      <c r="F92" t="s">
        <v>204</v>
      </c>
      <c r="G92" t="s">
        <v>49</v>
      </c>
      <c r="H92" t="b">
        <v>1</v>
      </c>
      <c r="I92" t="s">
        <v>1803</v>
      </c>
      <c r="J92" s="30">
        <f ca="1">YEARFRAC(W92,X92,1)</f>
        <v>70.307330428411674</v>
      </c>
      <c r="K92" t="s">
        <v>82</v>
      </c>
      <c r="L92" s="32">
        <v>17500</v>
      </c>
      <c r="M92" s="27">
        <v>21427700000000</v>
      </c>
      <c r="N92">
        <v>1956</v>
      </c>
      <c r="O92">
        <v>6</v>
      </c>
      <c r="P92">
        <v>11</v>
      </c>
      <c r="Q92">
        <v>117.24</v>
      </c>
      <c r="R92">
        <v>78.5</v>
      </c>
      <c r="S92">
        <v>9.6</v>
      </c>
      <c r="T92">
        <v>36.6</v>
      </c>
      <c r="U92">
        <v>328239523</v>
      </c>
      <c r="V92" s="30"/>
      <c r="W92" s="25">
        <f ca="1">TODAY()</f>
        <v>46297</v>
      </c>
      <c r="X92" s="25">
        <f>DATE(N92,O92,P92)</f>
        <v>20617</v>
      </c>
    </row>
    <row r="93" spans="1:24" x14ac:dyDescent="0.3">
      <c r="A93">
        <v>94</v>
      </c>
      <c r="B93" t="s">
        <v>49</v>
      </c>
      <c r="C93" t="s">
        <v>454</v>
      </c>
      <c r="D93" t="s">
        <v>32</v>
      </c>
      <c r="E93" t="s">
        <v>455</v>
      </c>
      <c r="F93" t="s">
        <v>264</v>
      </c>
      <c r="G93" t="s">
        <v>49</v>
      </c>
      <c r="H93" t="b">
        <v>1</v>
      </c>
      <c r="I93" t="s">
        <v>1803</v>
      </c>
      <c r="J93" s="30">
        <f ca="1">YEARFRAC(W93,X93,1)</f>
        <v>90.624917263373248</v>
      </c>
      <c r="K93" t="s">
        <v>457</v>
      </c>
      <c r="L93" s="32">
        <v>17500</v>
      </c>
      <c r="M93" s="27">
        <v>21427700000000</v>
      </c>
      <c r="N93">
        <v>1936</v>
      </c>
      <c r="O93">
        <v>2</v>
      </c>
      <c r="P93">
        <v>16</v>
      </c>
      <c r="Q93">
        <v>117.24</v>
      </c>
      <c r="R93">
        <v>78.5</v>
      </c>
      <c r="S93">
        <v>9.6</v>
      </c>
      <c r="T93">
        <v>36.6</v>
      </c>
      <c r="U93">
        <v>328239523</v>
      </c>
      <c r="V93" s="30"/>
      <c r="W93" s="25">
        <f ca="1">TODAY()</f>
        <v>46297</v>
      </c>
      <c r="X93" s="25">
        <f>DATE(N93,O93,P93)</f>
        <v>13196</v>
      </c>
    </row>
    <row r="94" spans="1:24" x14ac:dyDescent="0.3">
      <c r="A94">
        <v>94</v>
      </c>
      <c r="B94" t="s">
        <v>272</v>
      </c>
      <c r="C94" t="s">
        <v>458</v>
      </c>
      <c r="D94" t="s">
        <v>74</v>
      </c>
      <c r="E94" t="s">
        <v>459</v>
      </c>
      <c r="F94" t="s">
        <v>449</v>
      </c>
      <c r="G94" t="s">
        <v>272</v>
      </c>
      <c r="H94" t="b">
        <v>0</v>
      </c>
      <c r="I94" t="s">
        <v>1804</v>
      </c>
      <c r="J94" s="30">
        <f ca="1">YEARFRAC(W94,X94,1)</f>
        <v>76.537299103968138</v>
      </c>
      <c r="K94" t="s">
        <v>461</v>
      </c>
      <c r="L94" s="32">
        <v>17500</v>
      </c>
      <c r="M94" s="27">
        <v>2611000000000</v>
      </c>
      <c r="N94">
        <v>1950</v>
      </c>
      <c r="O94">
        <v>3</v>
      </c>
      <c r="P94">
        <v>20</v>
      </c>
      <c r="Q94">
        <v>180.44</v>
      </c>
      <c r="R94">
        <v>69.400000000000006</v>
      </c>
      <c r="S94">
        <v>11.2</v>
      </c>
      <c r="T94">
        <v>49.7</v>
      </c>
      <c r="U94">
        <v>1366417754</v>
      </c>
      <c r="V94" s="30"/>
      <c r="W94" s="25">
        <f ca="1">TODAY()</f>
        <v>46297</v>
      </c>
      <c r="X94" s="25">
        <f>DATE(N94,O94,P94)</f>
        <v>18342</v>
      </c>
    </row>
    <row r="95" spans="1:24" x14ac:dyDescent="0.3">
      <c r="A95">
        <v>97</v>
      </c>
      <c r="B95" t="s">
        <v>462</v>
      </c>
      <c r="C95" t="s">
        <v>463</v>
      </c>
      <c r="D95" t="s">
        <v>32</v>
      </c>
      <c r="E95" t="s">
        <v>464</v>
      </c>
      <c r="F95" t="s">
        <v>465</v>
      </c>
      <c r="G95" t="s">
        <v>462</v>
      </c>
      <c r="H95" t="b">
        <v>1</v>
      </c>
      <c r="I95" t="s">
        <v>1803</v>
      </c>
      <c r="J95" s="30">
        <f ca="1">YEARFRAC(W95,X95,1)</f>
        <v>94.392201504366113</v>
      </c>
      <c r="K95" t="s">
        <v>467</v>
      </c>
      <c r="L95" s="32">
        <v>17400</v>
      </c>
      <c r="M95" s="27">
        <v>21427700000000</v>
      </c>
      <c r="N95">
        <v>1932</v>
      </c>
      <c r="O95">
        <v>5</v>
      </c>
      <c r="P95">
        <v>11</v>
      </c>
      <c r="Q95">
        <v>117.24</v>
      </c>
      <c r="R95">
        <v>78.5</v>
      </c>
      <c r="S95">
        <v>9.6</v>
      </c>
      <c r="T95">
        <v>36.6</v>
      </c>
      <c r="U95">
        <v>328239523</v>
      </c>
      <c r="V95" s="30"/>
      <c r="W95" s="25">
        <f ca="1">TODAY()</f>
        <v>46297</v>
      </c>
      <c r="X95" s="25">
        <f>DATE(N95,O95,P95)</f>
        <v>11820</v>
      </c>
    </row>
    <row r="96" spans="1:24" x14ac:dyDescent="0.3">
      <c r="A96">
        <v>97</v>
      </c>
      <c r="B96" t="s">
        <v>21</v>
      </c>
      <c r="C96" t="s">
        <v>468</v>
      </c>
      <c r="D96" t="s">
        <v>32</v>
      </c>
      <c r="E96" t="s">
        <v>469</v>
      </c>
      <c r="F96" t="s">
        <v>470</v>
      </c>
      <c r="G96" t="s">
        <v>21</v>
      </c>
      <c r="H96" t="b">
        <v>1</v>
      </c>
      <c r="I96" t="s">
        <v>1803</v>
      </c>
      <c r="J96" s="30">
        <f ca="1">YEARFRAC(W96,X96,1)</f>
        <v>86.693363124272281</v>
      </c>
      <c r="K96" t="s">
        <v>190</v>
      </c>
      <c r="L96" s="32">
        <v>17400</v>
      </c>
      <c r="M96" s="27">
        <v>21427700000000</v>
      </c>
      <c r="N96">
        <v>1940</v>
      </c>
      <c r="O96">
        <v>1</v>
      </c>
      <c r="P96">
        <v>22</v>
      </c>
      <c r="Q96">
        <v>117.24</v>
      </c>
      <c r="R96">
        <v>78.5</v>
      </c>
      <c r="S96">
        <v>9.6</v>
      </c>
      <c r="T96">
        <v>36.6</v>
      </c>
      <c r="U96">
        <v>328239523</v>
      </c>
      <c r="V96" s="30"/>
      <c r="W96" s="25">
        <f ca="1">TODAY()</f>
        <v>46297</v>
      </c>
      <c r="X96" s="25">
        <f>DATE(N96,O96,P96)</f>
        <v>14632</v>
      </c>
    </row>
    <row r="97" spans="1:24" x14ac:dyDescent="0.3">
      <c r="A97">
        <v>99</v>
      </c>
      <c r="B97" t="s">
        <v>59</v>
      </c>
      <c r="C97" t="s">
        <v>472</v>
      </c>
      <c r="D97" t="s">
        <v>32</v>
      </c>
      <c r="E97" t="s">
        <v>61</v>
      </c>
      <c r="F97" t="s">
        <v>473</v>
      </c>
      <c r="G97" t="s">
        <v>59</v>
      </c>
      <c r="H97" t="b">
        <v>0</v>
      </c>
      <c r="I97" t="s">
        <v>1803</v>
      </c>
      <c r="J97" s="30">
        <f ca="1">YEARFRAC(W97,X97,1)</f>
        <v>95.561943874058869</v>
      </c>
      <c r="K97" t="s">
        <v>475</v>
      </c>
      <c r="L97" s="32">
        <v>17100</v>
      </c>
      <c r="M97" s="27">
        <v>21427700000000</v>
      </c>
      <c r="N97">
        <v>1931</v>
      </c>
      <c r="O97">
        <v>3</v>
      </c>
      <c r="P97">
        <v>11</v>
      </c>
      <c r="Q97">
        <v>117.24</v>
      </c>
      <c r="R97">
        <v>78.5</v>
      </c>
      <c r="S97">
        <v>9.6</v>
      </c>
      <c r="T97">
        <v>36.6</v>
      </c>
      <c r="U97">
        <v>328239523</v>
      </c>
      <c r="V97" s="30"/>
      <c r="W97" s="25">
        <f ca="1">TODAY()</f>
        <v>46297</v>
      </c>
      <c r="X97" s="25">
        <f>DATE(N97,O97,P97)</f>
        <v>11393</v>
      </c>
    </row>
    <row r="98" spans="1:24" x14ac:dyDescent="0.3">
      <c r="A98">
        <v>100</v>
      </c>
      <c r="B98" t="s">
        <v>49</v>
      </c>
      <c r="C98" t="s">
        <v>476</v>
      </c>
      <c r="D98" t="s">
        <v>170</v>
      </c>
      <c r="E98" t="s">
        <v>477</v>
      </c>
      <c r="F98" t="s">
        <v>478</v>
      </c>
      <c r="G98" t="s">
        <v>49</v>
      </c>
      <c r="H98" t="b">
        <v>0</v>
      </c>
      <c r="I98" t="s">
        <v>1804</v>
      </c>
      <c r="J98" s="30">
        <f ca="1">YEARFRAC(W98,X98,1)</f>
        <v>73.750850969365104</v>
      </c>
      <c r="K98" t="s">
        <v>480</v>
      </c>
      <c r="L98" s="32">
        <v>16700</v>
      </c>
      <c r="M98" s="27">
        <v>703082435360</v>
      </c>
      <c r="N98">
        <v>1953</v>
      </c>
      <c r="O98">
        <v>1</v>
      </c>
      <c r="P98">
        <v>1</v>
      </c>
      <c r="Q98">
        <v>99.55</v>
      </c>
      <c r="R98">
        <v>83.6</v>
      </c>
      <c r="S98">
        <v>10.1</v>
      </c>
      <c r="T98">
        <v>28.8</v>
      </c>
      <c r="U98">
        <v>8574832</v>
      </c>
      <c r="V98" s="30"/>
      <c r="W98" s="25">
        <f ca="1">TODAY()</f>
        <v>46297</v>
      </c>
      <c r="X98" s="25">
        <f>DATE(N98,O98,P98)</f>
        <v>19360</v>
      </c>
    </row>
    <row r="99" spans="1:24" x14ac:dyDescent="0.3">
      <c r="A99">
        <v>101</v>
      </c>
      <c r="B99" t="s">
        <v>21</v>
      </c>
      <c r="C99" t="s">
        <v>481</v>
      </c>
      <c r="D99" t="s">
        <v>158</v>
      </c>
      <c r="E99" t="s">
        <v>482</v>
      </c>
      <c r="F99" t="s">
        <v>483</v>
      </c>
      <c r="G99" t="s">
        <v>21</v>
      </c>
      <c r="H99" t="b">
        <v>0</v>
      </c>
      <c r="I99" t="s">
        <v>1803</v>
      </c>
      <c r="J99" s="30">
        <f ca="1">YEARFRAC(W99,X99,1)</f>
        <v>75.750855578370974</v>
      </c>
      <c r="K99" t="s">
        <v>485</v>
      </c>
      <c r="L99" s="32">
        <v>16500</v>
      </c>
      <c r="M99" s="27">
        <v>3845630030824</v>
      </c>
      <c r="N99">
        <v>1951</v>
      </c>
      <c r="O99">
        <v>1</v>
      </c>
      <c r="P99">
        <v>1</v>
      </c>
      <c r="Q99">
        <v>112.85</v>
      </c>
      <c r="R99">
        <v>80.900000000000006</v>
      </c>
      <c r="S99">
        <v>11.5</v>
      </c>
      <c r="T99">
        <v>48.8</v>
      </c>
      <c r="U99">
        <v>83132799</v>
      </c>
      <c r="V99" s="30"/>
      <c r="W99" s="25">
        <f ca="1">TODAY()</f>
        <v>46297</v>
      </c>
      <c r="X99" s="25">
        <f>DATE(N99,O99,P99)</f>
        <v>18629</v>
      </c>
    </row>
    <row r="100" spans="1:24" x14ac:dyDescent="0.3">
      <c r="A100">
        <v>101</v>
      </c>
      <c r="B100" t="s">
        <v>49</v>
      </c>
      <c r="C100" t="s">
        <v>486</v>
      </c>
      <c r="D100" t="s">
        <v>487</v>
      </c>
      <c r="E100" t="s">
        <v>488</v>
      </c>
      <c r="F100" t="s">
        <v>489</v>
      </c>
      <c r="G100" t="s">
        <v>49</v>
      </c>
      <c r="H100" t="b">
        <v>0</v>
      </c>
      <c r="I100" t="s">
        <v>1804</v>
      </c>
      <c r="J100" s="30">
        <f ca="1">YEARFRAC(W100,X100,1)</f>
        <v>59.247091033538673</v>
      </c>
      <c r="K100" t="s">
        <v>491</v>
      </c>
      <c r="L100" s="32">
        <v>16500</v>
      </c>
      <c r="M100" s="27">
        <v>246489245495</v>
      </c>
      <c r="N100">
        <v>1967</v>
      </c>
      <c r="O100">
        <v>7</v>
      </c>
      <c r="P100">
        <v>4</v>
      </c>
      <c r="Q100">
        <v>116.48</v>
      </c>
      <c r="R100">
        <v>79</v>
      </c>
      <c r="S100">
        <v>14.9</v>
      </c>
      <c r="T100">
        <v>46.1</v>
      </c>
      <c r="U100">
        <v>10669709</v>
      </c>
      <c r="V100" s="30"/>
      <c r="W100" s="25">
        <f ca="1">TODAY()</f>
        <v>46297</v>
      </c>
      <c r="X100" s="25">
        <f>DATE(N100,O100,P100)</f>
        <v>24657</v>
      </c>
    </row>
    <row r="101" spans="1:24" x14ac:dyDescent="0.3">
      <c r="A101">
        <v>103</v>
      </c>
      <c r="B101" t="s">
        <v>351</v>
      </c>
      <c r="C101" t="s">
        <v>493</v>
      </c>
      <c r="D101" t="s">
        <v>105</v>
      </c>
      <c r="E101" t="s">
        <v>192</v>
      </c>
      <c r="F101" t="s">
        <v>494</v>
      </c>
      <c r="G101" t="s">
        <v>351</v>
      </c>
      <c r="H101" t="b">
        <v>1</v>
      </c>
      <c r="I101" t="s">
        <v>1803</v>
      </c>
      <c r="J101" s="30">
        <f ca="1">YEARFRAC(W101,X101,1)</f>
        <v>75.750855578370974</v>
      </c>
      <c r="K101" t="s">
        <v>495</v>
      </c>
      <c r="L101" s="32">
        <v>16300</v>
      </c>
      <c r="M101" s="27">
        <v>19910000000000</v>
      </c>
      <c r="N101">
        <v>1951</v>
      </c>
      <c r="O101">
        <v>1</v>
      </c>
      <c r="P101">
        <v>1</v>
      </c>
      <c r="Q101">
        <v>125.08</v>
      </c>
      <c r="R101">
        <v>77</v>
      </c>
      <c r="S101">
        <v>9.4</v>
      </c>
      <c r="T101">
        <v>59.2</v>
      </c>
      <c r="U101">
        <v>1397715000</v>
      </c>
      <c r="V101" s="30"/>
      <c r="W101" s="25">
        <f ca="1">TODAY()</f>
        <v>46297</v>
      </c>
      <c r="X101" s="25">
        <f>DATE(N101,O101,P101)</f>
        <v>18629</v>
      </c>
    </row>
    <row r="102" spans="1:24" x14ac:dyDescent="0.3">
      <c r="A102">
        <v>104</v>
      </c>
      <c r="B102" t="s">
        <v>21</v>
      </c>
      <c r="C102" t="s">
        <v>496</v>
      </c>
      <c r="D102" t="s">
        <v>497</v>
      </c>
      <c r="E102" t="s">
        <v>498</v>
      </c>
      <c r="F102" t="s">
        <v>499</v>
      </c>
      <c r="G102" t="s">
        <v>21</v>
      </c>
      <c r="H102" t="b">
        <v>0</v>
      </c>
      <c r="I102" t="s">
        <v>1803</v>
      </c>
      <c r="J102" s="30">
        <f ca="1">YEARFRAC(W102,X102,1)</f>
        <v>78.995208761122512</v>
      </c>
      <c r="K102" t="s">
        <v>316</v>
      </c>
      <c r="L102" s="32">
        <v>16200</v>
      </c>
      <c r="M102" s="27">
        <v>530832908738</v>
      </c>
      <c r="N102">
        <v>1947</v>
      </c>
      <c r="O102">
        <v>10</v>
      </c>
      <c r="P102">
        <v>4</v>
      </c>
      <c r="Q102">
        <v>110.51</v>
      </c>
      <c r="R102">
        <v>82.5</v>
      </c>
      <c r="S102">
        <v>27.9</v>
      </c>
      <c r="T102">
        <v>49.1</v>
      </c>
      <c r="U102">
        <v>10285453</v>
      </c>
      <c r="V102" s="30"/>
      <c r="W102" s="25">
        <f ca="1">TODAY()</f>
        <v>46297</v>
      </c>
      <c r="X102" s="25">
        <f>DATE(N102,O102,P102)</f>
        <v>17444</v>
      </c>
    </row>
    <row r="103" spans="1:24" x14ac:dyDescent="0.3">
      <c r="A103">
        <v>104</v>
      </c>
      <c r="B103" t="s">
        <v>38</v>
      </c>
      <c r="C103" t="s">
        <v>502</v>
      </c>
      <c r="D103" t="s">
        <v>32</v>
      </c>
      <c r="E103" t="s">
        <v>503</v>
      </c>
      <c r="F103" t="s">
        <v>90</v>
      </c>
      <c r="G103" t="s">
        <v>38</v>
      </c>
      <c r="H103" t="b">
        <v>1</v>
      </c>
      <c r="I103" t="s">
        <v>1803</v>
      </c>
      <c r="J103" s="30">
        <f ca="1">YEARFRAC(W103,X103,1)</f>
        <v>71.433264887063658</v>
      </c>
      <c r="K103" t="s">
        <v>420</v>
      </c>
      <c r="L103" s="32">
        <v>16200</v>
      </c>
      <c r="M103" s="27">
        <v>21427700000000</v>
      </c>
      <c r="N103">
        <v>1955</v>
      </c>
      <c r="O103">
        <v>4</v>
      </c>
      <c r="P103">
        <v>27</v>
      </c>
      <c r="Q103">
        <v>117.24</v>
      </c>
      <c r="R103">
        <v>78.5</v>
      </c>
      <c r="S103">
        <v>9.6</v>
      </c>
      <c r="T103">
        <v>36.6</v>
      </c>
      <c r="U103">
        <v>328239523</v>
      </c>
      <c r="V103" s="30"/>
      <c r="W103" s="25">
        <f ca="1">TODAY()</f>
        <v>46297</v>
      </c>
      <c r="X103" s="25">
        <f>DATE(N103,O103,P103)</f>
        <v>20206</v>
      </c>
    </row>
    <row r="104" spans="1:24" x14ac:dyDescent="0.3">
      <c r="A104">
        <v>106</v>
      </c>
      <c r="B104" t="s">
        <v>49</v>
      </c>
      <c r="C104" t="s">
        <v>505</v>
      </c>
      <c r="D104" t="s">
        <v>170</v>
      </c>
      <c r="E104" t="s">
        <v>239</v>
      </c>
      <c r="F104" t="s">
        <v>204</v>
      </c>
      <c r="G104" t="s">
        <v>49</v>
      </c>
      <c r="H104" t="b">
        <v>1</v>
      </c>
      <c r="I104" t="s">
        <v>1803</v>
      </c>
      <c r="J104" s="30">
        <f ca="1">YEARFRAC(W104,X104,1)</f>
        <v>58.540046403712296</v>
      </c>
      <c r="K104" t="s">
        <v>64</v>
      </c>
      <c r="L104" s="32">
        <v>16000</v>
      </c>
      <c r="M104" s="27">
        <v>703082435360</v>
      </c>
      <c r="N104">
        <v>1968</v>
      </c>
      <c r="O104">
        <v>3</v>
      </c>
      <c r="P104">
        <v>18</v>
      </c>
      <c r="Q104">
        <v>99.55</v>
      </c>
      <c r="R104">
        <v>83.6</v>
      </c>
      <c r="S104">
        <v>10.1</v>
      </c>
      <c r="T104">
        <v>28.8</v>
      </c>
      <c r="U104">
        <v>8574832</v>
      </c>
      <c r="V104" s="30"/>
      <c r="W104" s="25">
        <f ca="1">TODAY()</f>
        <v>46297</v>
      </c>
      <c r="X104" s="25">
        <f>DATE(N104,O104,P104)</f>
        <v>24915</v>
      </c>
    </row>
    <row r="105" spans="1:24" x14ac:dyDescent="0.3">
      <c r="A105">
        <v>107</v>
      </c>
      <c r="B105" t="s">
        <v>103</v>
      </c>
      <c r="C105" t="s">
        <v>507</v>
      </c>
      <c r="D105" t="s">
        <v>105</v>
      </c>
      <c r="E105" t="s">
        <v>336</v>
      </c>
      <c r="F105" t="s">
        <v>508</v>
      </c>
      <c r="G105" t="s">
        <v>103</v>
      </c>
      <c r="H105" t="b">
        <v>1</v>
      </c>
      <c r="I105" t="s">
        <v>1803</v>
      </c>
      <c r="J105" s="30">
        <f ca="1">YEARFRAC(W105,X105,1)</f>
        <v>70.701577141094361</v>
      </c>
      <c r="K105" t="s">
        <v>510</v>
      </c>
      <c r="L105" s="32">
        <v>15900</v>
      </c>
      <c r="M105" s="27">
        <v>19910000000000</v>
      </c>
      <c r="N105">
        <v>1956</v>
      </c>
      <c r="O105">
        <v>1</v>
      </c>
      <c r="P105">
        <v>19</v>
      </c>
      <c r="Q105">
        <v>125.08</v>
      </c>
      <c r="R105">
        <v>77</v>
      </c>
      <c r="S105">
        <v>9.4</v>
      </c>
      <c r="T105">
        <v>59.2</v>
      </c>
      <c r="U105">
        <v>1397715000</v>
      </c>
      <c r="V105" s="30"/>
      <c r="W105" s="25">
        <f ca="1">TODAY()</f>
        <v>46297</v>
      </c>
      <c r="X105" s="25">
        <f>DATE(N105,O105,P105)</f>
        <v>20473</v>
      </c>
    </row>
    <row r="106" spans="1:24" x14ac:dyDescent="0.3">
      <c r="A106">
        <v>108</v>
      </c>
      <c r="B106" t="s">
        <v>103</v>
      </c>
      <c r="C106" t="s">
        <v>511</v>
      </c>
      <c r="D106" t="s">
        <v>170</v>
      </c>
      <c r="E106" t="s">
        <v>512</v>
      </c>
      <c r="F106" t="s">
        <v>513</v>
      </c>
      <c r="G106" t="s">
        <v>103</v>
      </c>
      <c r="H106" t="b">
        <v>1</v>
      </c>
      <c r="I106" t="s">
        <v>1803</v>
      </c>
      <c r="J106" s="30">
        <f ca="1">YEARFRAC(W106,X106,1)</f>
        <v>87.101984941820675</v>
      </c>
      <c r="K106" t="s">
        <v>515</v>
      </c>
      <c r="L106" s="32">
        <v>15800</v>
      </c>
      <c r="M106" s="27">
        <v>703082435360</v>
      </c>
      <c r="N106">
        <v>1939</v>
      </c>
      <c r="O106">
        <v>8</v>
      </c>
      <c r="P106">
        <v>26</v>
      </c>
      <c r="Q106">
        <v>99.55</v>
      </c>
      <c r="R106">
        <v>83.6</v>
      </c>
      <c r="S106">
        <v>10.1</v>
      </c>
      <c r="T106">
        <v>28.8</v>
      </c>
      <c r="U106">
        <v>8574832</v>
      </c>
      <c r="V106" s="30"/>
      <c r="W106" s="25">
        <f ca="1">TODAY()</f>
        <v>46297</v>
      </c>
      <c r="X106" s="25">
        <f>DATE(N106,O106,P106)</f>
        <v>14483</v>
      </c>
    </row>
    <row r="107" spans="1:24" x14ac:dyDescent="0.3">
      <c r="A107">
        <v>112</v>
      </c>
      <c r="B107" t="s">
        <v>351</v>
      </c>
      <c r="C107" t="s">
        <v>516</v>
      </c>
      <c r="D107" t="s">
        <v>74</v>
      </c>
      <c r="E107" t="s">
        <v>75</v>
      </c>
      <c r="F107" t="s">
        <v>517</v>
      </c>
      <c r="G107" t="s">
        <v>351</v>
      </c>
      <c r="H107" t="b">
        <v>1</v>
      </c>
      <c r="I107" t="s">
        <v>1803</v>
      </c>
      <c r="J107" s="30">
        <f ca="1">YEARFRAC(W107,X107,1)</f>
        <v>71.00342231348391</v>
      </c>
      <c r="K107" t="s">
        <v>519</v>
      </c>
      <c r="L107" s="32">
        <v>15600</v>
      </c>
      <c r="M107" s="27">
        <v>2611000000000</v>
      </c>
      <c r="N107">
        <v>1955</v>
      </c>
      <c r="O107">
        <v>10</v>
      </c>
      <c r="P107">
        <v>1</v>
      </c>
      <c r="Q107">
        <v>180.44</v>
      </c>
      <c r="R107">
        <v>69.400000000000006</v>
      </c>
      <c r="S107">
        <v>11.2</v>
      </c>
      <c r="T107">
        <v>49.7</v>
      </c>
      <c r="U107">
        <v>1366417754</v>
      </c>
      <c r="V107" s="30"/>
      <c r="W107" s="25">
        <f ca="1">TODAY()</f>
        <v>46297</v>
      </c>
      <c r="X107" s="25">
        <f>DATE(N107,O107,P107)</f>
        <v>20363</v>
      </c>
    </row>
    <row r="108" spans="1:24" x14ac:dyDescent="0.3">
      <c r="A108">
        <v>113</v>
      </c>
      <c r="B108" t="s">
        <v>38</v>
      </c>
      <c r="C108" t="s">
        <v>520</v>
      </c>
      <c r="D108" t="s">
        <v>32</v>
      </c>
      <c r="E108" t="s">
        <v>521</v>
      </c>
      <c r="F108" t="s">
        <v>522</v>
      </c>
      <c r="G108" t="s">
        <v>38</v>
      </c>
      <c r="H108" t="b">
        <v>1</v>
      </c>
      <c r="I108" t="s">
        <v>1803</v>
      </c>
      <c r="J108" s="30">
        <f ca="1">YEARFRAC(W108,X108,1)</f>
        <v>48.564675643962673</v>
      </c>
      <c r="K108" t="s">
        <v>524</v>
      </c>
      <c r="L108" s="32">
        <v>15500</v>
      </c>
      <c r="M108" s="27">
        <v>21427700000000</v>
      </c>
      <c r="N108">
        <v>1978</v>
      </c>
      <c r="O108">
        <v>3</v>
      </c>
      <c r="P108">
        <v>10</v>
      </c>
      <c r="Q108">
        <v>117.24</v>
      </c>
      <c r="R108">
        <v>78.5</v>
      </c>
      <c r="S108">
        <v>9.6</v>
      </c>
      <c r="T108">
        <v>36.6</v>
      </c>
      <c r="U108">
        <v>328239523</v>
      </c>
      <c r="V108" s="30"/>
      <c r="W108" s="25">
        <f ca="1">TODAY()</f>
        <v>46297</v>
      </c>
      <c r="X108" s="25">
        <f>DATE(N108,O108,P108)</f>
        <v>28559</v>
      </c>
    </row>
    <row r="109" spans="1:24" x14ac:dyDescent="0.3">
      <c r="A109">
        <v>114</v>
      </c>
      <c r="B109" t="s">
        <v>21</v>
      </c>
      <c r="C109" t="s">
        <v>525</v>
      </c>
      <c r="D109" t="s">
        <v>74</v>
      </c>
      <c r="E109" t="s">
        <v>75</v>
      </c>
      <c r="F109" t="s">
        <v>526</v>
      </c>
      <c r="G109" t="s">
        <v>21</v>
      </c>
      <c r="H109" t="b">
        <v>1</v>
      </c>
      <c r="I109" t="s">
        <v>1803</v>
      </c>
      <c r="J109" s="30">
        <f ca="1">YEARFRAC(W109,X109,1)</f>
        <v>71.750855578370974</v>
      </c>
      <c r="K109" t="s">
        <v>528</v>
      </c>
      <c r="L109" s="32">
        <v>15300</v>
      </c>
      <c r="M109" s="27">
        <v>2611000000000</v>
      </c>
      <c r="N109">
        <v>1955</v>
      </c>
      <c r="O109">
        <v>1</v>
      </c>
      <c r="P109">
        <v>1</v>
      </c>
      <c r="Q109">
        <v>180.44</v>
      </c>
      <c r="R109">
        <v>69.400000000000006</v>
      </c>
      <c r="S109">
        <v>11.2</v>
      </c>
      <c r="T109">
        <v>49.7</v>
      </c>
      <c r="U109">
        <v>1366417754</v>
      </c>
      <c r="V109" s="30"/>
      <c r="W109" s="25">
        <f ca="1">TODAY()</f>
        <v>46297</v>
      </c>
      <c r="X109" s="25">
        <f>DATE(N109,O109,P109)</f>
        <v>20090</v>
      </c>
    </row>
    <row r="110" spans="1:24" x14ac:dyDescent="0.3">
      <c r="A110">
        <v>115</v>
      </c>
      <c r="B110" t="s">
        <v>30</v>
      </c>
      <c r="C110" t="s">
        <v>529</v>
      </c>
      <c r="D110" t="s">
        <v>105</v>
      </c>
      <c r="E110" t="s">
        <v>214</v>
      </c>
      <c r="F110" t="s">
        <v>215</v>
      </c>
      <c r="G110" t="s">
        <v>30</v>
      </c>
      <c r="H110" t="b">
        <v>1</v>
      </c>
      <c r="I110" t="s">
        <v>1803</v>
      </c>
      <c r="J110" s="30">
        <f ca="1">YEARFRAC(W110,X110,1)</f>
        <v>59.750855578370981</v>
      </c>
      <c r="K110" t="s">
        <v>530</v>
      </c>
      <c r="L110" s="32">
        <v>15200</v>
      </c>
      <c r="M110" s="27">
        <v>19910000000000</v>
      </c>
      <c r="N110">
        <v>1967</v>
      </c>
      <c r="O110">
        <v>1</v>
      </c>
      <c r="P110">
        <v>1</v>
      </c>
      <c r="Q110">
        <v>125.08</v>
      </c>
      <c r="R110">
        <v>77</v>
      </c>
      <c r="S110">
        <v>9.4</v>
      </c>
      <c r="T110">
        <v>59.2</v>
      </c>
      <c r="U110">
        <v>1397715000</v>
      </c>
      <c r="V110" s="30"/>
      <c r="W110" s="25">
        <f ca="1">TODAY()</f>
        <v>46297</v>
      </c>
      <c r="X110" s="25">
        <f>DATE(N110,O110,P110)</f>
        <v>24473</v>
      </c>
    </row>
    <row r="111" spans="1:24" x14ac:dyDescent="0.3">
      <c r="A111">
        <v>116</v>
      </c>
      <c r="B111" t="s">
        <v>72</v>
      </c>
      <c r="C111" t="s">
        <v>531</v>
      </c>
      <c r="D111" t="s">
        <v>532</v>
      </c>
      <c r="E111" t="s">
        <v>533</v>
      </c>
      <c r="F111" t="s">
        <v>72</v>
      </c>
      <c r="G111" t="s">
        <v>72</v>
      </c>
      <c r="H111" t="b">
        <v>0</v>
      </c>
      <c r="I111" t="s">
        <v>1803</v>
      </c>
      <c r="J111" s="30">
        <f ca="1">YEARFRAC(W111,X111,1)</f>
        <v>87.455167693360707</v>
      </c>
      <c r="K111" t="s">
        <v>535</v>
      </c>
      <c r="L111" s="32">
        <v>14900</v>
      </c>
      <c r="M111" s="27">
        <v>543649976166</v>
      </c>
      <c r="N111">
        <v>1939</v>
      </c>
      <c r="O111">
        <v>4</v>
      </c>
      <c r="P111">
        <v>19</v>
      </c>
      <c r="Q111">
        <v>113.27</v>
      </c>
      <c r="R111">
        <v>76.900000000000006</v>
      </c>
      <c r="S111">
        <v>14.9</v>
      </c>
      <c r="T111">
        <v>29.5</v>
      </c>
      <c r="U111">
        <v>69625582</v>
      </c>
      <c r="V111" s="30"/>
      <c r="W111" s="25">
        <f ca="1">TODAY()</f>
        <v>46297</v>
      </c>
      <c r="X111" s="25">
        <f>DATE(N111,O111,P111)</f>
        <v>14354</v>
      </c>
    </row>
    <row r="112" spans="1:24" x14ac:dyDescent="0.3">
      <c r="A112">
        <v>116</v>
      </c>
      <c r="B112" t="s">
        <v>21</v>
      </c>
      <c r="C112" t="s">
        <v>537</v>
      </c>
      <c r="D112" t="s">
        <v>32</v>
      </c>
      <c r="E112" t="s">
        <v>433</v>
      </c>
      <c r="F112" t="s">
        <v>160</v>
      </c>
      <c r="G112" t="s">
        <v>21</v>
      </c>
      <c r="H112" t="b">
        <v>1</v>
      </c>
      <c r="I112" t="s">
        <v>1803</v>
      </c>
      <c r="J112" s="30">
        <f ca="1">YEARFRAC(W112,X112,1)</f>
        <v>84.88567699213651</v>
      </c>
      <c r="K112" t="s">
        <v>137</v>
      </c>
      <c r="L112" s="32">
        <v>14900</v>
      </c>
      <c r="M112" s="27">
        <v>21427700000000</v>
      </c>
      <c r="N112">
        <v>1941</v>
      </c>
      <c r="O112">
        <v>11</v>
      </c>
      <c r="P112">
        <v>13</v>
      </c>
      <c r="Q112">
        <v>117.24</v>
      </c>
      <c r="R112">
        <v>78.5</v>
      </c>
      <c r="S112">
        <v>9.6</v>
      </c>
      <c r="T112">
        <v>36.6</v>
      </c>
      <c r="U112">
        <v>328239523</v>
      </c>
      <c r="V112" s="30"/>
      <c r="W112" s="25">
        <f ca="1">TODAY()</f>
        <v>46297</v>
      </c>
      <c r="X112" s="25">
        <f>DATE(N112,O112,P112)</f>
        <v>15293</v>
      </c>
    </row>
    <row r="113" spans="1:24" x14ac:dyDescent="0.3">
      <c r="A113">
        <v>118</v>
      </c>
      <c r="B113" t="s">
        <v>103</v>
      </c>
      <c r="C113" t="s">
        <v>539</v>
      </c>
      <c r="D113" t="s">
        <v>532</v>
      </c>
      <c r="E113" t="s">
        <v>533</v>
      </c>
      <c r="F113" t="s">
        <v>540</v>
      </c>
      <c r="G113" t="s">
        <v>103</v>
      </c>
      <c r="H113" t="b">
        <v>1</v>
      </c>
      <c r="I113" t="s">
        <v>1803</v>
      </c>
      <c r="J113" s="30">
        <f ca="1">YEARFRAC(W113,X113,1)</f>
        <v>82.416842591370894</v>
      </c>
      <c r="K113" t="s">
        <v>542</v>
      </c>
      <c r="L113" s="32">
        <v>14800</v>
      </c>
      <c r="M113" s="27">
        <v>543649976166</v>
      </c>
      <c r="N113">
        <v>1944</v>
      </c>
      <c r="O113">
        <v>5</v>
      </c>
      <c r="P113">
        <v>2</v>
      </c>
      <c r="Q113">
        <v>113.27</v>
      </c>
      <c r="R113">
        <v>76.900000000000006</v>
      </c>
      <c r="S113">
        <v>14.9</v>
      </c>
      <c r="T113">
        <v>29.5</v>
      </c>
      <c r="U113">
        <v>69625582</v>
      </c>
      <c r="V113" s="30"/>
      <c r="W113" s="25">
        <f ca="1">TODAY()</f>
        <v>46297</v>
      </c>
      <c r="X113" s="25">
        <f>DATE(N113,O113,P113)</f>
        <v>16194</v>
      </c>
    </row>
    <row r="114" spans="1:24" x14ac:dyDescent="0.3">
      <c r="A114">
        <v>119</v>
      </c>
      <c r="B114" t="s">
        <v>103</v>
      </c>
      <c r="C114" t="s">
        <v>543</v>
      </c>
      <c r="D114" t="s">
        <v>226</v>
      </c>
      <c r="E114" t="s">
        <v>227</v>
      </c>
      <c r="F114" t="s">
        <v>544</v>
      </c>
      <c r="G114" t="s">
        <v>103</v>
      </c>
      <c r="H114" t="b">
        <v>0</v>
      </c>
      <c r="I114" t="s">
        <v>1804</v>
      </c>
      <c r="J114" s="30">
        <f ca="1">YEARFRAC(W114,X114,1)</f>
        <v>72.258035479878487</v>
      </c>
      <c r="K114" t="s">
        <v>546</v>
      </c>
      <c r="L114" s="32">
        <v>14700</v>
      </c>
      <c r="M114" s="27">
        <v>2827113184696</v>
      </c>
      <c r="N114">
        <v>1954</v>
      </c>
      <c r="O114">
        <v>6</v>
      </c>
      <c r="P114">
        <v>30</v>
      </c>
      <c r="Q114">
        <v>119.62</v>
      </c>
      <c r="R114">
        <v>81.3</v>
      </c>
      <c r="S114">
        <v>25.5</v>
      </c>
      <c r="T114">
        <v>30.6</v>
      </c>
      <c r="U114">
        <v>66834405</v>
      </c>
      <c r="V114" s="30"/>
      <c r="W114" s="25">
        <f ca="1">TODAY()</f>
        <v>46297</v>
      </c>
      <c r="X114" s="25">
        <f>DATE(N114,O114,P114)</f>
        <v>19905</v>
      </c>
    </row>
    <row r="115" spans="1:24" x14ac:dyDescent="0.3">
      <c r="A115">
        <v>120</v>
      </c>
      <c r="B115" t="s">
        <v>351</v>
      </c>
      <c r="C115" t="s">
        <v>547</v>
      </c>
      <c r="D115" t="s">
        <v>105</v>
      </c>
      <c r="E115" t="s">
        <v>192</v>
      </c>
      <c r="F115" t="s">
        <v>548</v>
      </c>
      <c r="G115" t="s">
        <v>351</v>
      </c>
      <c r="H115" t="b">
        <v>1</v>
      </c>
      <c r="I115" t="s">
        <v>1803</v>
      </c>
      <c r="J115" s="30">
        <f ca="1">YEARFRAC(W115,X115,1)</f>
        <v>64.364811928730887</v>
      </c>
      <c r="K115" t="s">
        <v>550</v>
      </c>
      <c r="L115" s="32">
        <v>14600</v>
      </c>
      <c r="M115" s="27">
        <v>19910000000000</v>
      </c>
      <c r="N115">
        <v>1962</v>
      </c>
      <c r="O115">
        <v>5</v>
      </c>
      <c r="P115">
        <v>22</v>
      </c>
      <c r="Q115">
        <v>125.08</v>
      </c>
      <c r="R115">
        <v>77</v>
      </c>
      <c r="S115">
        <v>9.4</v>
      </c>
      <c r="T115">
        <v>59.2</v>
      </c>
      <c r="U115">
        <v>1397715000</v>
      </c>
      <c r="V115" s="30"/>
      <c r="W115" s="25">
        <f ca="1">TODAY()</f>
        <v>46297</v>
      </c>
      <c r="X115" s="25">
        <f>DATE(N115,O115,P115)</f>
        <v>22788</v>
      </c>
    </row>
    <row r="116" spans="1:24" x14ac:dyDescent="0.3">
      <c r="A116">
        <v>121</v>
      </c>
      <c r="B116" t="s">
        <v>30</v>
      </c>
      <c r="C116" t="s">
        <v>551</v>
      </c>
      <c r="D116" t="s">
        <v>105</v>
      </c>
      <c r="E116" t="s">
        <v>552</v>
      </c>
      <c r="F116" t="s">
        <v>418</v>
      </c>
      <c r="G116" t="s">
        <v>30</v>
      </c>
      <c r="H116" t="b">
        <v>1</v>
      </c>
      <c r="I116" t="s">
        <v>1803</v>
      </c>
      <c r="J116" s="30">
        <f ca="1">YEARFRAC(W116,X116,1)</f>
        <v>62.586589022641348</v>
      </c>
      <c r="K116" t="s">
        <v>553</v>
      </c>
      <c r="L116" s="32">
        <v>14500</v>
      </c>
      <c r="M116" s="27">
        <v>19910000000000</v>
      </c>
      <c r="N116">
        <v>1964</v>
      </c>
      <c r="O116">
        <v>3</v>
      </c>
      <c r="P116">
        <v>1</v>
      </c>
      <c r="Q116">
        <v>125.08</v>
      </c>
      <c r="R116">
        <v>77</v>
      </c>
      <c r="S116">
        <v>9.4</v>
      </c>
      <c r="T116">
        <v>59.2</v>
      </c>
      <c r="U116">
        <v>1397715000</v>
      </c>
      <c r="V116" s="30"/>
      <c r="W116" s="25">
        <f ca="1">TODAY()</f>
        <v>46297</v>
      </c>
      <c r="X116" s="25">
        <f>DATE(N116,O116,P116)</f>
        <v>23437</v>
      </c>
    </row>
    <row r="117" spans="1:24" x14ac:dyDescent="0.3">
      <c r="A117">
        <v>123</v>
      </c>
      <c r="B117" t="s">
        <v>250</v>
      </c>
      <c r="C117" t="s">
        <v>554</v>
      </c>
      <c r="D117" t="s">
        <v>555</v>
      </c>
      <c r="E117" t="s">
        <v>555</v>
      </c>
      <c r="F117" t="s">
        <v>556</v>
      </c>
      <c r="G117" t="s">
        <v>250</v>
      </c>
      <c r="H117" t="b">
        <v>1</v>
      </c>
      <c r="I117" t="s">
        <v>1803</v>
      </c>
      <c r="J117" s="30">
        <f ca="1">YEARFRAC(W117,X117,1)</f>
        <v>99.266255989048602</v>
      </c>
      <c r="K117" t="s">
        <v>558</v>
      </c>
      <c r="L117" s="32">
        <v>14300</v>
      </c>
      <c r="M117" s="27">
        <v>372062527489</v>
      </c>
      <c r="N117">
        <v>1927</v>
      </c>
      <c r="O117">
        <v>6</v>
      </c>
      <c r="P117">
        <v>27</v>
      </c>
      <c r="Q117">
        <v>114.41</v>
      </c>
      <c r="R117">
        <v>83.1</v>
      </c>
      <c r="S117">
        <v>13.1</v>
      </c>
      <c r="T117">
        <v>21</v>
      </c>
      <c r="U117">
        <v>5703569</v>
      </c>
      <c r="V117" s="30"/>
      <c r="W117" s="25">
        <f ca="1">TODAY()</f>
        <v>46297</v>
      </c>
      <c r="X117" s="25">
        <f>DATE(N117,O117,P117)</f>
        <v>10040</v>
      </c>
    </row>
    <row r="118" spans="1:24" x14ac:dyDescent="0.3">
      <c r="A118">
        <v>124</v>
      </c>
      <c r="B118" t="s">
        <v>72</v>
      </c>
      <c r="C118" t="s">
        <v>560</v>
      </c>
      <c r="D118" t="s">
        <v>74</v>
      </c>
      <c r="E118" t="s">
        <v>75</v>
      </c>
      <c r="F118" t="s">
        <v>561</v>
      </c>
      <c r="G118" t="s">
        <v>72</v>
      </c>
      <c r="H118" t="b">
        <v>0</v>
      </c>
      <c r="I118" t="s">
        <v>1803</v>
      </c>
      <c r="J118" s="30">
        <f ca="1">YEARFRAC(W118,X118,1)</f>
        <v>59.301848049281311</v>
      </c>
      <c r="K118" t="s">
        <v>563</v>
      </c>
      <c r="L118" s="32">
        <v>14200</v>
      </c>
      <c r="M118" s="27">
        <v>2611000000000</v>
      </c>
      <c r="N118">
        <v>1967</v>
      </c>
      <c r="O118">
        <v>6</v>
      </c>
      <c r="P118">
        <v>14</v>
      </c>
      <c r="Q118">
        <v>180.44</v>
      </c>
      <c r="R118">
        <v>69.400000000000006</v>
      </c>
      <c r="S118">
        <v>11.2</v>
      </c>
      <c r="T118">
        <v>49.7</v>
      </c>
      <c r="U118">
        <v>1366417754</v>
      </c>
      <c r="V118" s="30"/>
      <c r="W118" s="25">
        <f ca="1">TODAY()</f>
        <v>46297</v>
      </c>
      <c r="X118" s="25">
        <f>DATE(N118,O118,P118)</f>
        <v>24637</v>
      </c>
    </row>
    <row r="119" spans="1:24" x14ac:dyDescent="0.3">
      <c r="A119">
        <v>124</v>
      </c>
      <c r="B119" t="s">
        <v>250</v>
      </c>
      <c r="C119" t="s">
        <v>564</v>
      </c>
      <c r="D119" t="s">
        <v>565</v>
      </c>
      <c r="E119" t="s">
        <v>566</v>
      </c>
      <c r="F119" t="s">
        <v>567</v>
      </c>
      <c r="G119" t="s">
        <v>250</v>
      </c>
      <c r="H119" t="b">
        <v>1</v>
      </c>
      <c r="I119" t="s">
        <v>1803</v>
      </c>
      <c r="J119" s="30">
        <f ca="1">YEARFRAC(W119,X119,1)</f>
        <v>69.479798177337983</v>
      </c>
      <c r="K119" t="s">
        <v>569</v>
      </c>
      <c r="L119" s="32">
        <v>14200</v>
      </c>
      <c r="M119" s="27">
        <v>448120428859</v>
      </c>
      <c r="N119">
        <v>1957</v>
      </c>
      <c r="O119">
        <v>4</v>
      </c>
      <c r="P119">
        <v>10</v>
      </c>
      <c r="Q119">
        <v>267.51</v>
      </c>
      <c r="R119">
        <v>54.3</v>
      </c>
      <c r="S119">
        <v>1.5</v>
      </c>
      <c r="T119">
        <v>34.799999999999997</v>
      </c>
      <c r="U119">
        <v>200963599</v>
      </c>
      <c r="V119" s="30"/>
      <c r="W119" s="25">
        <f ca="1">TODAY()</f>
        <v>46297</v>
      </c>
      <c r="X119" s="25">
        <f>DATE(N119,O119,P119)</f>
        <v>20920</v>
      </c>
    </row>
    <row r="120" spans="1:24" x14ac:dyDescent="0.3">
      <c r="A120">
        <v>127</v>
      </c>
      <c r="B120" t="s">
        <v>72</v>
      </c>
      <c r="C120" t="s">
        <v>571</v>
      </c>
      <c r="D120" t="s">
        <v>226</v>
      </c>
      <c r="E120" t="s">
        <v>227</v>
      </c>
      <c r="F120" t="s">
        <v>172</v>
      </c>
      <c r="G120" t="s">
        <v>72</v>
      </c>
      <c r="H120" t="b">
        <v>0</v>
      </c>
      <c r="I120" t="s">
        <v>1803</v>
      </c>
      <c r="J120" s="30">
        <f ca="1">YEARFRAC(W120,X120,1)</f>
        <v>71.000684462696782</v>
      </c>
      <c r="K120" t="s">
        <v>573</v>
      </c>
      <c r="L120" s="32">
        <v>14000</v>
      </c>
      <c r="M120" s="27">
        <v>2827113184696</v>
      </c>
      <c r="N120">
        <v>1955</v>
      </c>
      <c r="O120">
        <v>10</v>
      </c>
      <c r="P120">
        <v>2</v>
      </c>
      <c r="Q120">
        <v>119.62</v>
      </c>
      <c r="R120">
        <v>81.3</v>
      </c>
      <c r="S120">
        <v>25.5</v>
      </c>
      <c r="T120">
        <v>30.6</v>
      </c>
      <c r="U120">
        <v>66834405</v>
      </c>
      <c r="V120" s="30"/>
      <c r="W120" s="25">
        <f ca="1">TODAY()</f>
        <v>46297</v>
      </c>
      <c r="X120" s="25">
        <f>DATE(N120,O120,P120)</f>
        <v>20364</v>
      </c>
    </row>
    <row r="121" spans="1:24" x14ac:dyDescent="0.3">
      <c r="A121">
        <v>128</v>
      </c>
      <c r="B121" t="s">
        <v>351</v>
      </c>
      <c r="C121" t="s">
        <v>574</v>
      </c>
      <c r="D121" t="s">
        <v>105</v>
      </c>
      <c r="E121" t="s">
        <v>575</v>
      </c>
      <c r="F121" t="s">
        <v>408</v>
      </c>
      <c r="G121" t="s">
        <v>351</v>
      </c>
      <c r="H121" t="b">
        <v>1</v>
      </c>
      <c r="I121" t="s">
        <v>1803</v>
      </c>
      <c r="J121" s="30">
        <f ca="1">YEARFRAC(W121,X121,1)</f>
        <v>61.085537646279533</v>
      </c>
      <c r="K121" t="s">
        <v>577</v>
      </c>
      <c r="L121" s="32">
        <v>13900</v>
      </c>
      <c r="M121" s="27">
        <v>19910000000000</v>
      </c>
      <c r="N121">
        <v>1965</v>
      </c>
      <c r="O121">
        <v>9</v>
      </c>
      <c r="P121">
        <v>1</v>
      </c>
      <c r="Q121">
        <v>125.08</v>
      </c>
      <c r="R121">
        <v>77</v>
      </c>
      <c r="S121">
        <v>9.4</v>
      </c>
      <c r="T121">
        <v>59.2</v>
      </c>
      <c r="U121">
        <v>1397715000</v>
      </c>
      <c r="V121" s="30"/>
      <c r="W121" s="25">
        <f ca="1">TODAY()</f>
        <v>46297</v>
      </c>
      <c r="X121" s="25">
        <f>DATE(N121,O121,P121)</f>
        <v>23986</v>
      </c>
    </row>
    <row r="122" spans="1:24" x14ac:dyDescent="0.3">
      <c r="A122">
        <v>130</v>
      </c>
      <c r="B122" t="s">
        <v>168</v>
      </c>
      <c r="C122" t="s">
        <v>578</v>
      </c>
      <c r="D122" t="s">
        <v>226</v>
      </c>
      <c r="E122" t="s">
        <v>227</v>
      </c>
      <c r="F122" t="s">
        <v>172</v>
      </c>
      <c r="G122" t="s">
        <v>168</v>
      </c>
      <c r="H122" t="b">
        <v>1</v>
      </c>
      <c r="I122" t="s">
        <v>1803</v>
      </c>
      <c r="J122" s="30">
        <f ca="1">YEARFRAC(W122,X122,1)</f>
        <v>81.665976627712851</v>
      </c>
      <c r="K122" t="s">
        <v>190</v>
      </c>
      <c r="L122" s="32">
        <v>13700</v>
      </c>
      <c r="M122" s="27">
        <v>2827113184696</v>
      </c>
      <c r="N122">
        <v>1945</v>
      </c>
      <c r="O122">
        <v>2</v>
      </c>
      <c r="P122">
        <v>1</v>
      </c>
      <c r="Q122">
        <v>119.62</v>
      </c>
      <c r="R122">
        <v>81.3</v>
      </c>
      <c r="S122">
        <v>25.5</v>
      </c>
      <c r="T122">
        <v>30.6</v>
      </c>
      <c r="U122">
        <v>66834405</v>
      </c>
      <c r="V122" s="30"/>
      <c r="W122" s="25">
        <f ca="1">TODAY()</f>
        <v>46297</v>
      </c>
      <c r="X122" s="25">
        <f>DATE(N122,O122,P122)</f>
        <v>16469</v>
      </c>
    </row>
    <row r="123" spans="1:24" x14ac:dyDescent="0.3">
      <c r="A123">
        <v>130</v>
      </c>
      <c r="B123" t="s">
        <v>580</v>
      </c>
      <c r="C123" t="s">
        <v>581</v>
      </c>
      <c r="D123" t="s">
        <v>32</v>
      </c>
      <c r="E123" t="s">
        <v>582</v>
      </c>
      <c r="F123" t="s">
        <v>583</v>
      </c>
      <c r="G123" t="s">
        <v>580</v>
      </c>
      <c r="H123" t="b">
        <v>1</v>
      </c>
      <c r="I123" t="s">
        <v>1804</v>
      </c>
      <c r="J123" s="30">
        <f ca="1">YEARFRAC(W123,X123,1)</f>
        <v>79.586584531143046</v>
      </c>
      <c r="K123" t="s">
        <v>585</v>
      </c>
      <c r="L123" s="32">
        <v>13700</v>
      </c>
      <c r="M123" s="27">
        <v>21427700000000</v>
      </c>
      <c r="N123">
        <v>1947</v>
      </c>
      <c r="O123">
        <v>3</v>
      </c>
      <c r="P123">
        <v>2</v>
      </c>
      <c r="Q123">
        <v>117.24</v>
      </c>
      <c r="R123">
        <v>78.5</v>
      </c>
      <c r="S123">
        <v>9.6</v>
      </c>
      <c r="T123">
        <v>36.6</v>
      </c>
      <c r="U123">
        <v>328239523</v>
      </c>
      <c r="V123" s="30"/>
      <c r="W123" s="25">
        <f ca="1">TODAY()</f>
        <v>46297</v>
      </c>
      <c r="X123" s="25">
        <f>DATE(N123,O123,P123)</f>
        <v>17228</v>
      </c>
    </row>
    <row r="124" spans="1:24" x14ac:dyDescent="0.3">
      <c r="A124">
        <v>130</v>
      </c>
      <c r="B124" t="s">
        <v>38</v>
      </c>
      <c r="C124" t="s">
        <v>586</v>
      </c>
      <c r="D124" t="s">
        <v>32</v>
      </c>
      <c r="E124" t="s">
        <v>503</v>
      </c>
      <c r="F124" t="s">
        <v>587</v>
      </c>
      <c r="G124" t="s">
        <v>38</v>
      </c>
      <c r="H124" t="b">
        <v>1</v>
      </c>
      <c r="I124" t="s">
        <v>1803</v>
      </c>
      <c r="J124" s="30">
        <f ca="1">YEARFRAC(W124,X124,1)</f>
        <v>50.603016963710544</v>
      </c>
      <c r="K124" t="s">
        <v>589</v>
      </c>
      <c r="L124" s="32">
        <v>13700</v>
      </c>
      <c r="M124" s="27">
        <v>21427700000000</v>
      </c>
      <c r="N124">
        <v>1976</v>
      </c>
      <c r="O124">
        <v>2</v>
      </c>
      <c r="P124">
        <v>24</v>
      </c>
      <c r="Q124">
        <v>117.24</v>
      </c>
      <c r="R124">
        <v>78.5</v>
      </c>
      <c r="S124">
        <v>9.6</v>
      </c>
      <c r="T124">
        <v>36.6</v>
      </c>
      <c r="U124">
        <v>328239523</v>
      </c>
      <c r="V124" s="30"/>
      <c r="W124" s="25">
        <f ca="1">TODAY()</f>
        <v>46297</v>
      </c>
      <c r="X124" s="25">
        <f>DATE(N124,O124,P124)</f>
        <v>27814</v>
      </c>
    </row>
    <row r="125" spans="1:24" x14ac:dyDescent="0.3">
      <c r="A125">
        <v>133</v>
      </c>
      <c r="B125" t="s">
        <v>590</v>
      </c>
      <c r="C125" t="s">
        <v>591</v>
      </c>
      <c r="D125" t="s">
        <v>32</v>
      </c>
      <c r="E125" t="s">
        <v>592</v>
      </c>
      <c r="F125" t="s">
        <v>593</v>
      </c>
      <c r="G125" t="s">
        <v>590</v>
      </c>
      <c r="H125" t="b">
        <v>1</v>
      </c>
      <c r="I125" t="s">
        <v>1803</v>
      </c>
      <c r="J125" s="30">
        <f ca="1">YEARFRAC(W125,X125,1)</f>
        <v>83.970559814468857</v>
      </c>
      <c r="K125" t="s">
        <v>595</v>
      </c>
      <c r="L125" s="32">
        <v>13300</v>
      </c>
      <c r="M125" s="27">
        <v>21427700000000</v>
      </c>
      <c r="N125">
        <v>1942</v>
      </c>
      <c r="O125">
        <v>10</v>
      </c>
      <c r="P125">
        <v>13</v>
      </c>
      <c r="Q125">
        <v>117.24</v>
      </c>
      <c r="R125">
        <v>78.5</v>
      </c>
      <c r="S125">
        <v>9.6</v>
      </c>
      <c r="T125">
        <v>36.6</v>
      </c>
      <c r="U125">
        <v>328239523</v>
      </c>
      <c r="V125" s="30"/>
      <c r="W125" s="25">
        <f ca="1">TODAY()</f>
        <v>46297</v>
      </c>
      <c r="X125" s="25">
        <f>DATE(N125,O125,P125)</f>
        <v>15627</v>
      </c>
    </row>
    <row r="126" spans="1:24" x14ac:dyDescent="0.3">
      <c r="A126">
        <v>133</v>
      </c>
      <c r="B126" t="s">
        <v>292</v>
      </c>
      <c r="C126" t="s">
        <v>596</v>
      </c>
      <c r="D126" t="s">
        <v>32</v>
      </c>
      <c r="E126" t="s">
        <v>597</v>
      </c>
      <c r="F126" t="s">
        <v>598</v>
      </c>
      <c r="G126" t="s">
        <v>292</v>
      </c>
      <c r="H126" t="b">
        <v>0</v>
      </c>
      <c r="I126" t="s">
        <v>1803</v>
      </c>
      <c r="J126" s="30">
        <f ca="1">YEARFRAC(W126,X126,1)</f>
        <v>84.178638149842172</v>
      </c>
      <c r="K126" t="s">
        <v>600</v>
      </c>
      <c r="L126" s="32">
        <v>13300</v>
      </c>
      <c r="M126" s="27">
        <v>21427700000000</v>
      </c>
      <c r="N126">
        <v>1942</v>
      </c>
      <c r="O126">
        <v>7</v>
      </c>
      <c r="P126">
        <v>29</v>
      </c>
      <c r="Q126">
        <v>117.24</v>
      </c>
      <c r="R126">
        <v>78.5</v>
      </c>
      <c r="S126">
        <v>9.6</v>
      </c>
      <c r="T126">
        <v>36.6</v>
      </c>
      <c r="U126">
        <v>328239523</v>
      </c>
      <c r="V126" s="30"/>
      <c r="W126" s="25">
        <f ca="1">TODAY()</f>
        <v>46297</v>
      </c>
      <c r="X126" s="25">
        <f>DATE(N126,O126,P126)</f>
        <v>15551</v>
      </c>
    </row>
    <row r="127" spans="1:24" x14ac:dyDescent="0.3">
      <c r="A127">
        <v>136</v>
      </c>
      <c r="B127" t="s">
        <v>30</v>
      </c>
      <c r="C127" t="s">
        <v>601</v>
      </c>
      <c r="D127" t="s">
        <v>105</v>
      </c>
      <c r="E127" t="s">
        <v>602</v>
      </c>
      <c r="F127" t="s">
        <v>603</v>
      </c>
      <c r="G127" t="s">
        <v>30</v>
      </c>
      <c r="H127" t="b">
        <v>1</v>
      </c>
      <c r="I127" t="s">
        <v>1803</v>
      </c>
      <c r="J127" s="30">
        <f ca="1">YEARFRAC(W127,X127,1)</f>
        <v>63.762478412872248</v>
      </c>
      <c r="K127" t="s">
        <v>605</v>
      </c>
      <c r="L127" s="32">
        <v>13200</v>
      </c>
      <c r="M127" s="27">
        <v>19910000000000</v>
      </c>
      <c r="N127">
        <v>1962</v>
      </c>
      <c r="O127">
        <v>12</v>
      </c>
      <c r="P127">
        <v>28</v>
      </c>
      <c r="Q127">
        <v>125.08</v>
      </c>
      <c r="R127">
        <v>77</v>
      </c>
      <c r="S127">
        <v>9.4</v>
      </c>
      <c r="T127">
        <v>59.2</v>
      </c>
      <c r="U127">
        <v>1397715000</v>
      </c>
      <c r="V127" s="30"/>
      <c r="W127" s="25">
        <f ca="1">TODAY()</f>
        <v>46297</v>
      </c>
      <c r="X127" s="25">
        <f>DATE(N127,O127,P127)</f>
        <v>23008</v>
      </c>
    </row>
    <row r="128" spans="1:24" x14ac:dyDescent="0.3">
      <c r="A128">
        <v>137</v>
      </c>
      <c r="B128" t="s">
        <v>462</v>
      </c>
      <c r="C128" t="s">
        <v>606</v>
      </c>
      <c r="D128" t="s">
        <v>274</v>
      </c>
      <c r="E128" t="s">
        <v>607</v>
      </c>
      <c r="F128" t="s">
        <v>465</v>
      </c>
      <c r="G128" t="s">
        <v>462</v>
      </c>
      <c r="H128" t="b">
        <v>1</v>
      </c>
      <c r="I128" t="s">
        <v>1803</v>
      </c>
      <c r="J128" s="30">
        <f ca="1">YEARFRAC(W128,X128,1)</f>
        <v>93.583840619811838</v>
      </c>
      <c r="K128" t="s">
        <v>609</v>
      </c>
      <c r="L128" s="32">
        <v>13100</v>
      </c>
      <c r="M128" s="27">
        <v>1392680589329</v>
      </c>
      <c r="N128">
        <v>1933</v>
      </c>
      <c r="O128">
        <v>3</v>
      </c>
      <c r="P128">
        <v>3</v>
      </c>
      <c r="Q128">
        <v>119.8</v>
      </c>
      <c r="R128">
        <v>82.7</v>
      </c>
      <c r="S128">
        <v>23</v>
      </c>
      <c r="T128">
        <v>47.4</v>
      </c>
      <c r="U128">
        <v>25766605</v>
      </c>
      <c r="V128" s="30"/>
      <c r="W128" s="25">
        <f ca="1">TODAY()</f>
        <v>46297</v>
      </c>
      <c r="X128" s="25">
        <f>DATE(N128,O128,P128)</f>
        <v>12116</v>
      </c>
    </row>
    <row r="129" spans="1:24" x14ac:dyDescent="0.3">
      <c r="A129">
        <v>138</v>
      </c>
      <c r="B129" t="s">
        <v>49</v>
      </c>
      <c r="C129" t="s">
        <v>610</v>
      </c>
      <c r="D129" t="s">
        <v>74</v>
      </c>
      <c r="E129" t="s">
        <v>75</v>
      </c>
      <c r="F129" t="s">
        <v>478</v>
      </c>
      <c r="G129" t="s">
        <v>49</v>
      </c>
      <c r="H129" t="b">
        <v>1</v>
      </c>
      <c r="I129" t="s">
        <v>1803</v>
      </c>
      <c r="J129" s="30">
        <f ca="1">YEARFRAC(W129,X129,1)</f>
        <v>67.55099247091033</v>
      </c>
      <c r="K129" t="s">
        <v>612</v>
      </c>
      <c r="L129" s="32">
        <v>12900</v>
      </c>
      <c r="M129" s="27">
        <v>2611000000000</v>
      </c>
      <c r="N129">
        <v>1959</v>
      </c>
      <c r="O129">
        <v>3</v>
      </c>
      <c r="P129">
        <v>15</v>
      </c>
      <c r="Q129">
        <v>180.44</v>
      </c>
      <c r="R129">
        <v>69.400000000000006</v>
      </c>
      <c r="S129">
        <v>11.2</v>
      </c>
      <c r="T129">
        <v>49.7</v>
      </c>
      <c r="U129">
        <v>1366417754</v>
      </c>
      <c r="V129" s="30"/>
      <c r="W129" s="25">
        <f ca="1">TODAY()</f>
        <v>46297</v>
      </c>
      <c r="X129" s="25">
        <f>DATE(N129,O129,P129)</f>
        <v>21624</v>
      </c>
    </row>
    <row r="130" spans="1:24" x14ac:dyDescent="0.3">
      <c r="A130">
        <v>138</v>
      </c>
      <c r="B130" t="s">
        <v>590</v>
      </c>
      <c r="C130" t="s">
        <v>613</v>
      </c>
      <c r="D130" t="s">
        <v>32</v>
      </c>
      <c r="E130" t="s">
        <v>614</v>
      </c>
      <c r="F130" t="s">
        <v>615</v>
      </c>
      <c r="G130" t="s">
        <v>590</v>
      </c>
      <c r="H130" t="b">
        <v>1</v>
      </c>
      <c r="I130" t="s">
        <v>1803</v>
      </c>
      <c r="J130" s="30">
        <f ca="1">YEARFRAC(W130,X130,1)</f>
        <v>79.178644763860376</v>
      </c>
      <c r="K130" t="s">
        <v>617</v>
      </c>
      <c r="L130" s="32">
        <v>12900</v>
      </c>
      <c r="M130" s="27">
        <v>21427700000000</v>
      </c>
      <c r="N130">
        <v>1947</v>
      </c>
      <c r="O130">
        <v>7</v>
      </c>
      <c r="P130">
        <v>29</v>
      </c>
      <c r="Q130">
        <v>117.24</v>
      </c>
      <c r="R130">
        <v>78.5</v>
      </c>
      <c r="S130">
        <v>9.6</v>
      </c>
      <c r="T130">
        <v>36.6</v>
      </c>
      <c r="U130">
        <v>328239523</v>
      </c>
      <c r="V130" s="30"/>
      <c r="W130" s="25">
        <f ca="1">TODAY()</f>
        <v>46297</v>
      </c>
      <c r="X130" s="25">
        <f>DATE(N130,O130,P130)</f>
        <v>17377</v>
      </c>
    </row>
    <row r="131" spans="1:24" x14ac:dyDescent="0.3">
      <c r="A131">
        <v>140</v>
      </c>
      <c r="B131" t="s">
        <v>292</v>
      </c>
      <c r="C131" t="s">
        <v>618</v>
      </c>
      <c r="D131" t="s">
        <v>226</v>
      </c>
      <c r="E131" t="s">
        <v>227</v>
      </c>
      <c r="F131" t="s">
        <v>619</v>
      </c>
      <c r="G131" t="s">
        <v>292</v>
      </c>
      <c r="H131" t="b">
        <v>1</v>
      </c>
      <c r="I131" t="s">
        <v>1803</v>
      </c>
      <c r="J131" s="30">
        <f ca="1">YEARFRAC(W131,X131,1)</f>
        <v>62.446960149493719</v>
      </c>
      <c r="K131" t="s">
        <v>621</v>
      </c>
      <c r="L131" s="32">
        <v>12600</v>
      </c>
      <c r="M131" s="27">
        <v>2827113184696</v>
      </c>
      <c r="N131">
        <v>1964</v>
      </c>
      <c r="O131">
        <v>4</v>
      </c>
      <c r="P131">
        <v>21</v>
      </c>
      <c r="Q131">
        <v>119.62</v>
      </c>
      <c r="R131">
        <v>81.3</v>
      </c>
      <c r="S131">
        <v>25.5</v>
      </c>
      <c r="T131">
        <v>30.6</v>
      </c>
      <c r="U131">
        <v>66834405</v>
      </c>
      <c r="V131" s="30"/>
      <c r="W131" s="25">
        <f ca="1">TODAY()</f>
        <v>46297</v>
      </c>
      <c r="X131" s="25">
        <f>DATE(N131,O131,P131)</f>
        <v>23488</v>
      </c>
    </row>
    <row r="132" spans="1:24" x14ac:dyDescent="0.3">
      <c r="A132">
        <v>141</v>
      </c>
      <c r="B132" t="s">
        <v>292</v>
      </c>
      <c r="C132" t="s">
        <v>622</v>
      </c>
      <c r="D132" t="s">
        <v>532</v>
      </c>
      <c r="E132" t="s">
        <v>533</v>
      </c>
      <c r="F132" t="s">
        <v>292</v>
      </c>
      <c r="G132" t="s">
        <v>292</v>
      </c>
      <c r="H132" t="b">
        <v>1</v>
      </c>
      <c r="I132" t="s">
        <v>1803</v>
      </c>
      <c r="J132" s="30">
        <f ca="1">YEARFRAC(W132,X132,1)</f>
        <v>61.225171119452419</v>
      </c>
      <c r="K132" t="s">
        <v>624</v>
      </c>
      <c r="L132" s="32">
        <v>12300</v>
      </c>
      <c r="M132" s="27">
        <v>543649976166</v>
      </c>
      <c r="N132">
        <v>1965</v>
      </c>
      <c r="O132">
        <v>7</v>
      </c>
      <c r="P132">
        <v>12</v>
      </c>
      <c r="Q132">
        <v>113.27</v>
      </c>
      <c r="R132">
        <v>76.900000000000006</v>
      </c>
      <c r="S132">
        <v>14.9</v>
      </c>
      <c r="T132">
        <v>29.5</v>
      </c>
      <c r="U132">
        <v>69625582</v>
      </c>
      <c r="V132" s="30"/>
      <c r="W132" s="25">
        <f ca="1">TODAY()</f>
        <v>46297</v>
      </c>
      <c r="X132" s="25">
        <f>DATE(N132,O132,P132)</f>
        <v>23935</v>
      </c>
    </row>
    <row r="133" spans="1:24" x14ac:dyDescent="0.3">
      <c r="A133">
        <v>142</v>
      </c>
      <c r="B133" t="s">
        <v>272</v>
      </c>
      <c r="C133" t="s">
        <v>625</v>
      </c>
      <c r="D133" t="s">
        <v>105</v>
      </c>
      <c r="E133" t="s">
        <v>626</v>
      </c>
      <c r="F133" t="s">
        <v>296</v>
      </c>
      <c r="G133" t="s">
        <v>272</v>
      </c>
      <c r="H133" t="b">
        <v>1</v>
      </c>
      <c r="I133" t="s">
        <v>1803</v>
      </c>
      <c r="J133" s="30">
        <f ca="1">YEARFRAC(W133,X133,1)</f>
        <v>53.665973736247018</v>
      </c>
      <c r="K133" t="s">
        <v>628</v>
      </c>
      <c r="L133" s="32">
        <v>12200</v>
      </c>
      <c r="M133" s="27">
        <v>19910000000000</v>
      </c>
      <c r="N133">
        <v>1973</v>
      </c>
      <c r="O133">
        <v>2</v>
      </c>
      <c r="P133">
        <v>1</v>
      </c>
      <c r="Q133">
        <v>125.08</v>
      </c>
      <c r="R133">
        <v>77</v>
      </c>
      <c r="S133">
        <v>9.4</v>
      </c>
      <c r="T133">
        <v>59.2</v>
      </c>
      <c r="U133">
        <v>1397715000</v>
      </c>
      <c r="V133" s="30"/>
      <c r="W133" s="25">
        <f ca="1">TODAY()</f>
        <v>46297</v>
      </c>
      <c r="X133" s="25">
        <f>DATE(N133,O133,P133)</f>
        <v>26696</v>
      </c>
    </row>
    <row r="134" spans="1:24" x14ac:dyDescent="0.3">
      <c r="A134">
        <v>142</v>
      </c>
      <c r="B134" t="s">
        <v>351</v>
      </c>
      <c r="C134" t="s">
        <v>629</v>
      </c>
      <c r="D134" t="s">
        <v>105</v>
      </c>
      <c r="E134" t="s">
        <v>630</v>
      </c>
      <c r="F134" t="s">
        <v>354</v>
      </c>
      <c r="G134" t="s">
        <v>351</v>
      </c>
      <c r="H134" t="b">
        <v>1</v>
      </c>
      <c r="I134" t="s">
        <v>1803</v>
      </c>
      <c r="J134" s="30">
        <f ca="1">YEARFRAC(W134,X134,1)</f>
        <v>72.98423856741158</v>
      </c>
      <c r="K134" t="s">
        <v>632</v>
      </c>
      <c r="L134" s="32">
        <v>12200</v>
      </c>
      <c r="M134" s="27">
        <v>19910000000000</v>
      </c>
      <c r="N134">
        <v>1953</v>
      </c>
      <c r="O134">
        <v>10</v>
      </c>
      <c r="P134">
        <v>8</v>
      </c>
      <c r="Q134">
        <v>125.08</v>
      </c>
      <c r="R134">
        <v>77</v>
      </c>
      <c r="S134">
        <v>9.4</v>
      </c>
      <c r="T134">
        <v>59.2</v>
      </c>
      <c r="U134">
        <v>1397715000</v>
      </c>
      <c r="V134" s="30"/>
      <c r="W134" s="25">
        <f ca="1">TODAY()</f>
        <v>46297</v>
      </c>
      <c r="X134" s="25">
        <f>DATE(N134,O134,P134)</f>
        <v>19640</v>
      </c>
    </row>
    <row r="135" spans="1:24" x14ac:dyDescent="0.3">
      <c r="A135">
        <v>144</v>
      </c>
      <c r="B135" t="s">
        <v>30</v>
      </c>
      <c r="C135" t="s">
        <v>633</v>
      </c>
      <c r="D135" t="s">
        <v>32</v>
      </c>
      <c r="E135" t="s">
        <v>634</v>
      </c>
      <c r="F135" t="s">
        <v>635</v>
      </c>
      <c r="G135" t="s">
        <v>30</v>
      </c>
      <c r="H135" t="b">
        <v>1</v>
      </c>
      <c r="I135" t="s">
        <v>1803</v>
      </c>
      <c r="J135" s="30">
        <f ca="1">YEARFRAC(W135,X135,1)</f>
        <v>76.208754089034272</v>
      </c>
      <c r="K135" t="s">
        <v>637</v>
      </c>
      <c r="L135" s="32">
        <v>12100</v>
      </c>
      <c r="M135" s="27">
        <v>21427700000000</v>
      </c>
      <c r="N135">
        <v>1950</v>
      </c>
      <c r="O135">
        <v>7</v>
      </c>
      <c r="P135">
        <v>18</v>
      </c>
      <c r="Q135">
        <v>117.24</v>
      </c>
      <c r="R135">
        <v>78.5</v>
      </c>
      <c r="S135">
        <v>9.6</v>
      </c>
      <c r="T135">
        <v>36.6</v>
      </c>
      <c r="U135">
        <v>328239523</v>
      </c>
      <c r="V135" s="30"/>
      <c r="W135" s="25">
        <f ca="1">TODAY()</f>
        <v>46297</v>
      </c>
      <c r="X135" s="25">
        <f>DATE(N135,O135,P135)</f>
        <v>18462</v>
      </c>
    </row>
    <row r="136" spans="1:24" x14ac:dyDescent="0.3">
      <c r="A136">
        <v>145</v>
      </c>
      <c r="B136" t="s">
        <v>38</v>
      </c>
      <c r="C136" t="s">
        <v>638</v>
      </c>
      <c r="D136" t="s">
        <v>32</v>
      </c>
      <c r="E136" t="s">
        <v>89</v>
      </c>
      <c r="F136" t="s">
        <v>639</v>
      </c>
      <c r="G136" t="s">
        <v>38</v>
      </c>
      <c r="H136" t="b">
        <v>0</v>
      </c>
      <c r="I136" t="s">
        <v>1804</v>
      </c>
      <c r="J136" s="30">
        <f ca="1">YEARFRAC(W136,X136,1)</f>
        <v>62.904859685147159</v>
      </c>
      <c r="K136" t="s">
        <v>641</v>
      </c>
      <c r="L136" s="32">
        <v>12000</v>
      </c>
      <c r="M136" s="27">
        <v>21427700000000</v>
      </c>
      <c r="N136">
        <v>1963</v>
      </c>
      <c r="O136">
        <v>11</v>
      </c>
      <c r="P136">
        <v>6</v>
      </c>
      <c r="Q136">
        <v>117.24</v>
      </c>
      <c r="R136">
        <v>78.5</v>
      </c>
      <c r="S136">
        <v>9.6</v>
      </c>
      <c r="T136">
        <v>36.6</v>
      </c>
      <c r="U136">
        <v>328239523</v>
      </c>
      <c r="V136" s="30"/>
      <c r="W136" s="25">
        <f ca="1">TODAY()</f>
        <v>46297</v>
      </c>
      <c r="X136" s="25">
        <f>DATE(N136,O136,P136)</f>
        <v>23321</v>
      </c>
    </row>
    <row r="137" spans="1:24" x14ac:dyDescent="0.3">
      <c r="A137">
        <v>147</v>
      </c>
      <c r="B137" t="s">
        <v>462</v>
      </c>
      <c r="C137" t="s">
        <v>642</v>
      </c>
      <c r="D137" t="s">
        <v>32</v>
      </c>
      <c r="E137" t="s">
        <v>61</v>
      </c>
      <c r="F137" t="s">
        <v>465</v>
      </c>
      <c r="G137" t="s">
        <v>462</v>
      </c>
      <c r="H137" t="b">
        <v>1</v>
      </c>
      <c r="I137" t="s">
        <v>1803</v>
      </c>
      <c r="J137" s="30">
        <f ca="1">YEARFRAC(W137,X137,1)</f>
        <v>86.394939736287256</v>
      </c>
      <c r="K137" t="s">
        <v>266</v>
      </c>
      <c r="L137" s="32">
        <v>11600</v>
      </c>
      <c r="M137" s="27">
        <v>21427700000000</v>
      </c>
      <c r="N137">
        <v>1940</v>
      </c>
      <c r="O137">
        <v>5</v>
      </c>
      <c r="P137">
        <v>10</v>
      </c>
      <c r="Q137">
        <v>117.24</v>
      </c>
      <c r="R137">
        <v>78.5</v>
      </c>
      <c r="S137">
        <v>9.6</v>
      </c>
      <c r="T137">
        <v>36.6</v>
      </c>
      <c r="U137">
        <v>328239523</v>
      </c>
      <c r="V137" s="30"/>
      <c r="W137" s="25">
        <f ca="1">TODAY()</f>
        <v>46297</v>
      </c>
      <c r="X137" s="25">
        <f>DATE(N137,O137,P137)</f>
        <v>14741</v>
      </c>
    </row>
    <row r="138" spans="1:24" x14ac:dyDescent="0.3">
      <c r="A138">
        <v>148</v>
      </c>
      <c r="B138" t="s">
        <v>38</v>
      </c>
      <c r="C138" t="s">
        <v>644</v>
      </c>
      <c r="D138" t="s">
        <v>306</v>
      </c>
      <c r="E138" t="s">
        <v>645</v>
      </c>
      <c r="F138" t="s">
        <v>646</v>
      </c>
      <c r="G138" t="s">
        <v>38</v>
      </c>
      <c r="H138" t="b">
        <v>1</v>
      </c>
      <c r="I138" t="s">
        <v>1803</v>
      </c>
      <c r="J138" s="30">
        <f ca="1">YEARFRAC(W138,X138,1)</f>
        <v>41.976060104418693</v>
      </c>
      <c r="K138" t="s">
        <v>648</v>
      </c>
      <c r="L138" s="32">
        <v>11500</v>
      </c>
      <c r="M138" s="27">
        <v>421142267938</v>
      </c>
      <c r="N138">
        <v>1984</v>
      </c>
      <c r="O138">
        <v>10</v>
      </c>
      <c r="P138">
        <v>10</v>
      </c>
      <c r="Q138">
        <v>114.52</v>
      </c>
      <c r="R138">
        <v>77.8</v>
      </c>
      <c r="S138">
        <v>0.1</v>
      </c>
      <c r="T138">
        <v>15.9</v>
      </c>
      <c r="U138">
        <v>9770529</v>
      </c>
      <c r="V138" s="30"/>
      <c r="W138" s="25">
        <f ca="1">TODAY()</f>
        <v>46297</v>
      </c>
      <c r="X138" s="25">
        <f>DATE(N138,O138,P138)</f>
        <v>30965</v>
      </c>
    </row>
    <row r="139" spans="1:24" x14ac:dyDescent="0.3">
      <c r="A139">
        <v>148</v>
      </c>
      <c r="B139" t="s">
        <v>351</v>
      </c>
      <c r="C139" t="s">
        <v>649</v>
      </c>
      <c r="D139" t="s">
        <v>158</v>
      </c>
      <c r="E139" t="s">
        <v>650</v>
      </c>
      <c r="F139" t="s">
        <v>517</v>
      </c>
      <c r="G139" t="s">
        <v>351</v>
      </c>
      <c r="H139" t="b">
        <v>1</v>
      </c>
      <c r="I139" t="s">
        <v>1803</v>
      </c>
      <c r="J139" s="30">
        <f ca="1">YEARFRAC(W139,X139,1)</f>
        <v>76.624911107950496</v>
      </c>
      <c r="K139" t="s">
        <v>652</v>
      </c>
      <c r="L139" s="32">
        <v>11500</v>
      </c>
      <c r="M139" s="27">
        <v>3845630030824</v>
      </c>
      <c r="N139">
        <v>1950</v>
      </c>
      <c r="O139">
        <v>2</v>
      </c>
      <c r="P139">
        <v>16</v>
      </c>
      <c r="Q139">
        <v>112.85</v>
      </c>
      <c r="R139">
        <v>80.900000000000006</v>
      </c>
      <c r="S139">
        <v>11.5</v>
      </c>
      <c r="T139">
        <v>48.8</v>
      </c>
      <c r="U139">
        <v>83132799</v>
      </c>
      <c r="V139" s="30"/>
      <c r="W139" s="25">
        <f ca="1">TODAY()</f>
        <v>46297</v>
      </c>
      <c r="X139" s="25">
        <f>DATE(N139,O139,P139)</f>
        <v>18310</v>
      </c>
    </row>
    <row r="140" spans="1:24" x14ac:dyDescent="0.3">
      <c r="A140">
        <v>148</v>
      </c>
      <c r="B140" t="s">
        <v>351</v>
      </c>
      <c r="C140" t="s">
        <v>653</v>
      </c>
      <c r="D140" t="s">
        <v>158</v>
      </c>
      <c r="E140" t="s">
        <v>650</v>
      </c>
      <c r="F140" t="s">
        <v>517</v>
      </c>
      <c r="G140" t="s">
        <v>351</v>
      </c>
      <c r="H140" t="b">
        <v>1</v>
      </c>
      <c r="I140" t="s">
        <v>1803</v>
      </c>
      <c r="J140" s="30">
        <f ca="1">YEARFRAC(W140,X140,1)</f>
        <v>76.624911107950496</v>
      </c>
      <c r="K140" t="s">
        <v>304</v>
      </c>
      <c r="L140" s="32">
        <v>11500</v>
      </c>
      <c r="M140" s="27">
        <v>3845630030824</v>
      </c>
      <c r="N140">
        <v>1950</v>
      </c>
      <c r="O140">
        <v>2</v>
      </c>
      <c r="P140">
        <v>16</v>
      </c>
      <c r="Q140">
        <v>112.85</v>
      </c>
      <c r="R140">
        <v>80.900000000000006</v>
      </c>
      <c r="S140">
        <v>11.5</v>
      </c>
      <c r="T140">
        <v>48.8</v>
      </c>
      <c r="U140">
        <v>83132799</v>
      </c>
      <c r="V140" s="30"/>
      <c r="W140" s="25">
        <f ca="1">TODAY()</f>
        <v>46297</v>
      </c>
      <c r="X140" s="25">
        <f>DATE(N140,O140,P140)</f>
        <v>18310</v>
      </c>
    </row>
    <row r="141" spans="1:24" x14ac:dyDescent="0.3">
      <c r="A141">
        <v>151</v>
      </c>
      <c r="B141" t="s">
        <v>103</v>
      </c>
      <c r="C141" t="s">
        <v>654</v>
      </c>
      <c r="D141" t="s">
        <v>105</v>
      </c>
      <c r="E141" t="s">
        <v>655</v>
      </c>
      <c r="F141" t="s">
        <v>656</v>
      </c>
      <c r="G141" t="s">
        <v>103</v>
      </c>
      <c r="H141" t="b">
        <v>1</v>
      </c>
      <c r="I141" t="s">
        <v>1803</v>
      </c>
      <c r="J141" s="30">
        <f ca="1">YEARFRAC(W141,X141,1)</f>
        <v>62.750858285167965</v>
      </c>
      <c r="K141" t="s">
        <v>658</v>
      </c>
      <c r="L141" s="32">
        <v>11400</v>
      </c>
      <c r="M141" s="27">
        <v>19910000000000</v>
      </c>
      <c r="N141">
        <v>1964</v>
      </c>
      <c r="O141">
        <v>1</v>
      </c>
      <c r="P141">
        <v>1</v>
      </c>
      <c r="Q141">
        <v>125.08</v>
      </c>
      <c r="R141">
        <v>77</v>
      </c>
      <c r="S141">
        <v>9.4</v>
      </c>
      <c r="T141">
        <v>59.2</v>
      </c>
      <c r="U141">
        <v>1397715000</v>
      </c>
      <c r="V141" s="30"/>
      <c r="W141" s="25">
        <f ca="1">TODAY()</f>
        <v>46297</v>
      </c>
      <c r="X141" s="25">
        <f>DATE(N141,O141,P141)</f>
        <v>23377</v>
      </c>
    </row>
    <row r="142" spans="1:24" x14ac:dyDescent="0.3">
      <c r="A142">
        <v>151</v>
      </c>
      <c r="B142" t="s">
        <v>21</v>
      </c>
      <c r="C142" t="s">
        <v>659</v>
      </c>
      <c r="D142" t="s">
        <v>32</v>
      </c>
      <c r="E142" t="s">
        <v>660</v>
      </c>
      <c r="F142" t="s">
        <v>661</v>
      </c>
      <c r="G142" t="s">
        <v>21</v>
      </c>
      <c r="H142" t="b">
        <v>1</v>
      </c>
      <c r="I142" t="s">
        <v>1803</v>
      </c>
      <c r="J142" s="30">
        <f ca="1">YEARFRAC(W142,X142,1)</f>
        <v>54.197819702324658</v>
      </c>
      <c r="K142" t="s">
        <v>64</v>
      </c>
      <c r="L142" s="32">
        <v>11400</v>
      </c>
      <c r="M142" s="27">
        <v>21427700000000</v>
      </c>
      <c r="N142">
        <v>1972</v>
      </c>
      <c r="O142">
        <v>7</v>
      </c>
      <c r="P142">
        <v>21</v>
      </c>
      <c r="Q142">
        <v>117.24</v>
      </c>
      <c r="R142">
        <v>78.5</v>
      </c>
      <c r="S142">
        <v>9.6</v>
      </c>
      <c r="T142">
        <v>36.6</v>
      </c>
      <c r="U142">
        <v>328239523</v>
      </c>
      <c r="V142" s="30"/>
      <c r="W142" s="25">
        <f ca="1">TODAY()</f>
        <v>46297</v>
      </c>
      <c r="X142" s="25">
        <f>DATE(N142,O142,P142)</f>
        <v>26501</v>
      </c>
    </row>
    <row r="143" spans="1:24" x14ac:dyDescent="0.3">
      <c r="A143">
        <v>153</v>
      </c>
      <c r="B143" t="s">
        <v>49</v>
      </c>
      <c r="C143" t="s">
        <v>663</v>
      </c>
      <c r="D143" t="s">
        <v>32</v>
      </c>
      <c r="E143" t="s">
        <v>61</v>
      </c>
      <c r="F143" t="s">
        <v>204</v>
      </c>
      <c r="G143" t="s">
        <v>49</v>
      </c>
      <c r="H143" t="b">
        <v>1</v>
      </c>
      <c r="I143" t="s">
        <v>1803</v>
      </c>
      <c r="J143" s="30">
        <f ca="1">YEARFRAC(W143,X143,1)</f>
        <v>78.003430947842659</v>
      </c>
      <c r="K143" t="s">
        <v>665</v>
      </c>
      <c r="L143" s="32">
        <v>11300</v>
      </c>
      <c r="M143" s="27">
        <v>21427700000000</v>
      </c>
      <c r="N143">
        <v>1948</v>
      </c>
      <c r="O143">
        <v>9</v>
      </c>
      <c r="P143">
        <v>30</v>
      </c>
      <c r="Q143">
        <v>117.24</v>
      </c>
      <c r="R143">
        <v>78.5</v>
      </c>
      <c r="S143">
        <v>9.6</v>
      </c>
      <c r="T143">
        <v>36.6</v>
      </c>
      <c r="U143">
        <v>328239523</v>
      </c>
      <c r="V143" s="30"/>
      <c r="W143" s="25">
        <f ca="1">TODAY()</f>
        <v>46297</v>
      </c>
      <c r="X143" s="25">
        <f>DATE(N143,O143,P143)</f>
        <v>17806</v>
      </c>
    </row>
    <row r="144" spans="1:24" x14ac:dyDescent="0.3">
      <c r="A144">
        <v>153</v>
      </c>
      <c r="B144" t="s">
        <v>250</v>
      </c>
      <c r="C144" t="s">
        <v>666</v>
      </c>
      <c r="D144" t="s">
        <v>665</v>
      </c>
      <c r="E144" t="s">
        <v>667</v>
      </c>
      <c r="F144" t="s">
        <v>668</v>
      </c>
      <c r="G144" t="s">
        <v>250</v>
      </c>
      <c r="H144" t="b">
        <v>1</v>
      </c>
      <c r="I144" t="s">
        <v>1803</v>
      </c>
      <c r="J144" s="30">
        <f ca="1">YEARFRAC(W144,X144,1)</f>
        <v>73.066375610478019</v>
      </c>
      <c r="K144" t="s">
        <v>670</v>
      </c>
      <c r="L144" s="32">
        <v>11300</v>
      </c>
      <c r="M144" s="27">
        <v>395098666122</v>
      </c>
      <c r="N144">
        <v>1953</v>
      </c>
      <c r="O144">
        <v>9</v>
      </c>
      <c r="P144">
        <v>8</v>
      </c>
      <c r="Q144">
        <v>108.15</v>
      </c>
      <c r="R144">
        <v>82.8</v>
      </c>
      <c r="S144">
        <v>23.1</v>
      </c>
      <c r="T144">
        <v>25.3</v>
      </c>
      <c r="U144">
        <v>9053300</v>
      </c>
      <c r="V144" s="30"/>
      <c r="W144" s="25">
        <f ca="1">TODAY()</f>
        <v>46297</v>
      </c>
      <c r="X144" s="25">
        <f>DATE(N144,O144,P144)</f>
        <v>19610</v>
      </c>
    </row>
    <row r="145" spans="1:24" x14ac:dyDescent="0.3">
      <c r="A145">
        <v>153</v>
      </c>
      <c r="B145" t="s">
        <v>250</v>
      </c>
      <c r="C145" t="s">
        <v>672</v>
      </c>
      <c r="D145" t="s">
        <v>274</v>
      </c>
      <c r="E145" t="s">
        <v>673</v>
      </c>
      <c r="F145" t="s">
        <v>250</v>
      </c>
      <c r="G145" t="s">
        <v>250</v>
      </c>
      <c r="H145" t="b">
        <v>0</v>
      </c>
      <c r="I145" t="s">
        <v>1803</v>
      </c>
      <c r="J145" s="30">
        <f ca="1">YEARFRAC(W145,X145,1)</f>
        <v>66.474338018960452</v>
      </c>
      <c r="K145" t="s">
        <v>675</v>
      </c>
      <c r="L145" s="32">
        <v>11300</v>
      </c>
      <c r="M145" s="27">
        <v>1392680589329</v>
      </c>
      <c r="N145">
        <v>1960</v>
      </c>
      <c r="O145">
        <v>4</v>
      </c>
      <c r="P145">
        <v>11</v>
      </c>
      <c r="Q145">
        <v>119.8</v>
      </c>
      <c r="R145">
        <v>82.7</v>
      </c>
      <c r="S145">
        <v>23</v>
      </c>
      <c r="T145">
        <v>47.4</v>
      </c>
      <c r="U145">
        <v>25766605</v>
      </c>
      <c r="V145" s="30"/>
      <c r="W145" s="25">
        <f ca="1">TODAY()</f>
        <v>46297</v>
      </c>
      <c r="X145" s="25">
        <f>DATE(N145,O145,P145)</f>
        <v>22017</v>
      </c>
    </row>
    <row r="146" spans="1:24" x14ac:dyDescent="0.3">
      <c r="A146">
        <v>153</v>
      </c>
      <c r="B146" t="s">
        <v>49</v>
      </c>
      <c r="C146" t="s">
        <v>676</v>
      </c>
      <c r="D146" t="s">
        <v>170</v>
      </c>
      <c r="E146" t="s">
        <v>677</v>
      </c>
      <c r="F146" t="s">
        <v>264</v>
      </c>
      <c r="G146" t="s">
        <v>49</v>
      </c>
      <c r="H146" t="b">
        <v>1</v>
      </c>
      <c r="I146" t="s">
        <v>1803</v>
      </c>
      <c r="J146" s="30">
        <f ca="1">YEARFRAC(W146,X146,1)</f>
        <v>61.416824906160301</v>
      </c>
      <c r="K146" t="s">
        <v>621</v>
      </c>
      <c r="L146" s="32">
        <v>11300</v>
      </c>
      <c r="M146" s="27">
        <v>703082435360</v>
      </c>
      <c r="N146">
        <v>1965</v>
      </c>
      <c r="O146">
        <v>5</v>
      </c>
      <c r="P146">
        <v>3</v>
      </c>
      <c r="Q146">
        <v>99.55</v>
      </c>
      <c r="R146">
        <v>83.6</v>
      </c>
      <c r="S146">
        <v>10.1</v>
      </c>
      <c r="T146">
        <v>28.8</v>
      </c>
      <c r="U146">
        <v>8574832</v>
      </c>
      <c r="V146" s="30"/>
      <c r="W146" s="25">
        <f ca="1">TODAY()</f>
        <v>46297</v>
      </c>
      <c r="X146" s="25">
        <f>DATE(N146,O146,P146)</f>
        <v>23865</v>
      </c>
    </row>
    <row r="147" spans="1:24" x14ac:dyDescent="0.3">
      <c r="A147">
        <v>157</v>
      </c>
      <c r="B147" t="s">
        <v>21</v>
      </c>
      <c r="C147" t="s">
        <v>679</v>
      </c>
      <c r="D147" t="s">
        <v>680</v>
      </c>
      <c r="E147" t="s">
        <v>681</v>
      </c>
      <c r="F147" t="s">
        <v>165</v>
      </c>
      <c r="G147" t="s">
        <v>21</v>
      </c>
      <c r="H147" t="b">
        <v>1</v>
      </c>
      <c r="I147" t="s">
        <v>1803</v>
      </c>
      <c r="J147" s="30">
        <f ca="1">YEARFRAC(W147,X147,1)</f>
        <v>92.227920395666516</v>
      </c>
      <c r="K147" t="s">
        <v>683</v>
      </c>
      <c r="L147" s="32">
        <v>11100</v>
      </c>
      <c r="M147" s="27">
        <v>2001244392042</v>
      </c>
      <c r="N147">
        <v>1934</v>
      </c>
      <c r="O147">
        <v>7</v>
      </c>
      <c r="P147">
        <v>11</v>
      </c>
      <c r="Q147">
        <v>110.62</v>
      </c>
      <c r="R147">
        <v>82.9</v>
      </c>
      <c r="S147">
        <v>24.3</v>
      </c>
      <c r="T147">
        <v>59.1</v>
      </c>
      <c r="U147">
        <v>60297396</v>
      </c>
      <c r="V147" s="30"/>
      <c r="W147" s="25">
        <f ca="1">TODAY()</f>
        <v>46297</v>
      </c>
      <c r="X147" s="25">
        <f>DATE(N147,O147,P147)</f>
        <v>12611</v>
      </c>
    </row>
    <row r="148" spans="1:24" x14ac:dyDescent="0.3">
      <c r="A148">
        <v>157</v>
      </c>
      <c r="B148" t="s">
        <v>21</v>
      </c>
      <c r="C148" t="s">
        <v>685</v>
      </c>
      <c r="D148" t="s">
        <v>686</v>
      </c>
      <c r="E148" t="s">
        <v>687</v>
      </c>
      <c r="F148" t="s">
        <v>165</v>
      </c>
      <c r="G148" t="s">
        <v>21</v>
      </c>
      <c r="H148" t="b">
        <v>0</v>
      </c>
      <c r="I148" t="s">
        <v>1803</v>
      </c>
      <c r="J148" s="30">
        <f ca="1">YEARFRAC(W148,X148,1)</f>
        <v>76.337434219883377</v>
      </c>
      <c r="K148" t="s">
        <v>688</v>
      </c>
      <c r="L148" s="32">
        <v>11100</v>
      </c>
      <c r="M148" s="27">
        <v>351431649241</v>
      </c>
      <c r="N148">
        <v>1950</v>
      </c>
      <c r="O148">
        <v>6</v>
      </c>
      <c r="P148">
        <v>1</v>
      </c>
      <c r="Q148">
        <v>158.93</v>
      </c>
      <c r="R148">
        <v>63.9</v>
      </c>
      <c r="S148">
        <v>27.5</v>
      </c>
      <c r="T148">
        <v>29.2</v>
      </c>
      <c r="U148">
        <v>58558270</v>
      </c>
      <c r="V148" s="30"/>
      <c r="W148" s="25">
        <f ca="1">TODAY()</f>
        <v>46297</v>
      </c>
      <c r="X148" s="25">
        <f>DATE(N148,O148,P148)</f>
        <v>18415</v>
      </c>
    </row>
    <row r="149" spans="1:24" x14ac:dyDescent="0.3">
      <c r="A149">
        <v>159</v>
      </c>
      <c r="B149" t="s">
        <v>38</v>
      </c>
      <c r="C149" t="s">
        <v>690</v>
      </c>
      <c r="D149" t="s">
        <v>105</v>
      </c>
      <c r="E149" t="s">
        <v>192</v>
      </c>
      <c r="F149" t="s">
        <v>193</v>
      </c>
      <c r="G149" t="s">
        <v>38</v>
      </c>
      <c r="H149" t="b">
        <v>1</v>
      </c>
      <c r="I149" t="s">
        <v>1803</v>
      </c>
      <c r="J149" s="30">
        <f ca="1">YEARFRAC(W149,X149,1)</f>
        <v>54.750858678878991</v>
      </c>
      <c r="K149" t="s">
        <v>691</v>
      </c>
      <c r="L149" s="32">
        <v>11000</v>
      </c>
      <c r="M149" s="27">
        <v>19910000000000</v>
      </c>
      <c r="N149">
        <v>1972</v>
      </c>
      <c r="O149">
        <v>1</v>
      </c>
      <c r="P149">
        <v>1</v>
      </c>
      <c r="Q149">
        <v>125.08</v>
      </c>
      <c r="R149">
        <v>77</v>
      </c>
      <c r="S149">
        <v>9.4</v>
      </c>
      <c r="T149">
        <v>59.2</v>
      </c>
      <c r="U149">
        <v>1397715000</v>
      </c>
      <c r="V149" s="30"/>
      <c r="W149" s="25">
        <f ca="1">TODAY()</f>
        <v>46297</v>
      </c>
      <c r="X149" s="25">
        <f>DATE(N149,O149,P149)</f>
        <v>26299</v>
      </c>
    </row>
    <row r="150" spans="1:24" x14ac:dyDescent="0.3">
      <c r="A150">
        <v>161</v>
      </c>
      <c r="B150" t="s">
        <v>49</v>
      </c>
      <c r="C150" t="s">
        <v>692</v>
      </c>
      <c r="D150" t="s">
        <v>32</v>
      </c>
      <c r="E150" t="s">
        <v>693</v>
      </c>
      <c r="F150" t="s">
        <v>694</v>
      </c>
      <c r="G150" t="s">
        <v>49</v>
      </c>
      <c r="H150" t="b">
        <v>0</v>
      </c>
      <c r="I150" t="s">
        <v>1803</v>
      </c>
      <c r="J150" s="30">
        <f ca="1">YEARFRAC(W150,X150,1)</f>
        <v>86.762491444216295</v>
      </c>
      <c r="K150" t="s">
        <v>696</v>
      </c>
      <c r="L150" s="32">
        <v>10900</v>
      </c>
      <c r="M150" s="27">
        <v>21427700000000</v>
      </c>
      <c r="N150">
        <v>1939</v>
      </c>
      <c r="O150">
        <v>12</v>
      </c>
      <c r="P150">
        <v>28</v>
      </c>
      <c r="Q150">
        <v>117.24</v>
      </c>
      <c r="R150">
        <v>78.5</v>
      </c>
      <c r="S150">
        <v>9.6</v>
      </c>
      <c r="T150">
        <v>36.6</v>
      </c>
      <c r="U150">
        <v>328239523</v>
      </c>
      <c r="V150" s="30"/>
      <c r="W150" s="25">
        <f ca="1">TODAY()</f>
        <v>46297</v>
      </c>
      <c r="X150" s="25">
        <f>DATE(N150,O150,P150)</f>
        <v>14607</v>
      </c>
    </row>
    <row r="151" spans="1:24" x14ac:dyDescent="0.3">
      <c r="A151">
        <v>161</v>
      </c>
      <c r="B151" t="s">
        <v>21</v>
      </c>
      <c r="C151" t="s">
        <v>697</v>
      </c>
      <c r="D151" t="s">
        <v>32</v>
      </c>
      <c r="E151" t="s">
        <v>433</v>
      </c>
      <c r="F151" t="s">
        <v>698</v>
      </c>
      <c r="G151" t="s">
        <v>21</v>
      </c>
      <c r="H151" t="b">
        <v>1</v>
      </c>
      <c r="I151" t="s">
        <v>1804</v>
      </c>
      <c r="J151" s="30">
        <f ca="1">YEARFRAC(W151,X151,1)</f>
        <v>89.293623752737886</v>
      </c>
      <c r="K151" t="s">
        <v>700</v>
      </c>
      <c r="L151" s="32">
        <v>10900</v>
      </c>
      <c r="M151" s="27">
        <v>21427700000000</v>
      </c>
      <c r="N151">
        <v>1937</v>
      </c>
      <c r="O151">
        <v>6</v>
      </c>
      <c r="P151">
        <v>17</v>
      </c>
      <c r="Q151">
        <v>117.24</v>
      </c>
      <c r="R151">
        <v>78.5</v>
      </c>
      <c r="S151">
        <v>9.6</v>
      </c>
      <c r="T151">
        <v>36.6</v>
      </c>
      <c r="U151">
        <v>328239523</v>
      </c>
      <c r="V151" s="30"/>
      <c r="W151" s="25">
        <f ca="1">TODAY()</f>
        <v>46297</v>
      </c>
      <c r="X151" s="25">
        <f>DATE(N151,O151,P151)</f>
        <v>13683</v>
      </c>
    </row>
    <row r="152" spans="1:24" x14ac:dyDescent="0.3">
      <c r="A152">
        <v>161</v>
      </c>
      <c r="B152" t="s">
        <v>21</v>
      </c>
      <c r="C152" t="s">
        <v>701</v>
      </c>
      <c r="D152" t="s">
        <v>67</v>
      </c>
      <c r="E152" t="s">
        <v>68</v>
      </c>
      <c r="F152" t="s">
        <v>702</v>
      </c>
      <c r="G152" t="s">
        <v>21</v>
      </c>
      <c r="H152" t="b">
        <v>0</v>
      </c>
      <c r="I152" t="s">
        <v>1803</v>
      </c>
      <c r="J152" s="30">
        <f ca="1">YEARFRAC(W152,X152,1)</f>
        <v>70.954140999315541</v>
      </c>
      <c r="K152" t="s">
        <v>704</v>
      </c>
      <c r="L152" s="32">
        <v>10900</v>
      </c>
      <c r="M152" s="27">
        <v>1258286717125</v>
      </c>
      <c r="N152">
        <v>1955</v>
      </c>
      <c r="O152">
        <v>10</v>
      </c>
      <c r="P152">
        <v>19</v>
      </c>
      <c r="Q152">
        <v>141.54</v>
      </c>
      <c r="R152">
        <v>75</v>
      </c>
      <c r="S152">
        <v>13.1</v>
      </c>
      <c r="T152">
        <v>55.1</v>
      </c>
      <c r="U152">
        <v>126014024</v>
      </c>
      <c r="V152" s="30"/>
      <c r="W152" s="25">
        <f ca="1">TODAY()</f>
        <v>46297</v>
      </c>
      <c r="X152" s="25">
        <f>DATE(N152,O152,P152)</f>
        <v>20381</v>
      </c>
    </row>
    <row r="153" spans="1:24" x14ac:dyDescent="0.3">
      <c r="A153">
        <v>164</v>
      </c>
      <c r="B153" t="s">
        <v>59</v>
      </c>
      <c r="C153" t="s">
        <v>705</v>
      </c>
      <c r="D153" t="s">
        <v>32</v>
      </c>
      <c r="E153" t="s">
        <v>61</v>
      </c>
      <c r="F153" t="s">
        <v>135</v>
      </c>
      <c r="G153" t="s">
        <v>59</v>
      </c>
      <c r="H153" t="b">
        <v>0</v>
      </c>
      <c r="I153" t="s">
        <v>1803</v>
      </c>
      <c r="J153" s="30">
        <f ca="1">YEARFRAC(W153,X153,1)</f>
        <v>97.159468067273849</v>
      </c>
      <c r="K153" t="s">
        <v>467</v>
      </c>
      <c r="L153" s="32">
        <v>10700</v>
      </c>
      <c r="M153" s="27">
        <v>21427700000000</v>
      </c>
      <c r="N153">
        <v>1929</v>
      </c>
      <c r="O153">
        <v>8</v>
      </c>
      <c r="P153">
        <v>5</v>
      </c>
      <c r="Q153">
        <v>117.24</v>
      </c>
      <c r="R153">
        <v>78.5</v>
      </c>
      <c r="S153">
        <v>9.6</v>
      </c>
      <c r="T153">
        <v>36.6</v>
      </c>
      <c r="U153">
        <v>328239523</v>
      </c>
      <c r="V153" s="30"/>
      <c r="W153" s="25">
        <f ca="1">TODAY()</f>
        <v>46297</v>
      </c>
      <c r="X153" s="25">
        <f>DATE(N153,O153,P153)</f>
        <v>10810</v>
      </c>
    </row>
    <row r="154" spans="1:24" x14ac:dyDescent="0.3">
      <c r="A154">
        <v>165</v>
      </c>
      <c r="B154" t="s">
        <v>590</v>
      </c>
      <c r="C154" t="s">
        <v>707</v>
      </c>
      <c r="D154" t="s">
        <v>32</v>
      </c>
      <c r="E154" t="s">
        <v>708</v>
      </c>
      <c r="F154" t="s">
        <v>709</v>
      </c>
      <c r="G154" t="s">
        <v>590</v>
      </c>
      <c r="H154" t="b">
        <v>1</v>
      </c>
      <c r="I154" t="s">
        <v>1803</v>
      </c>
      <c r="J154" s="30">
        <f ca="1">YEARFRAC(W154,X154,1)</f>
        <v>85.326477985419118</v>
      </c>
      <c r="K154" t="s">
        <v>524</v>
      </c>
      <c r="L154" s="32">
        <v>10600</v>
      </c>
      <c r="M154" s="27">
        <v>21427700000000</v>
      </c>
      <c r="N154">
        <v>1941</v>
      </c>
      <c r="O154">
        <v>6</v>
      </c>
      <c r="P154">
        <v>5</v>
      </c>
      <c r="Q154">
        <v>117.24</v>
      </c>
      <c r="R154">
        <v>78.5</v>
      </c>
      <c r="S154">
        <v>9.6</v>
      </c>
      <c r="T154">
        <v>36.6</v>
      </c>
      <c r="U154">
        <v>328239523</v>
      </c>
      <c r="V154" s="30"/>
      <c r="W154" s="25">
        <f ca="1">TODAY()</f>
        <v>46297</v>
      </c>
      <c r="X154" s="25">
        <f>DATE(N154,O154,P154)</f>
        <v>15132</v>
      </c>
    </row>
    <row r="155" spans="1:24" x14ac:dyDescent="0.3">
      <c r="A155">
        <v>165</v>
      </c>
      <c r="B155" t="s">
        <v>103</v>
      </c>
      <c r="C155" t="s">
        <v>711</v>
      </c>
      <c r="D155" t="s">
        <v>712</v>
      </c>
      <c r="E155" t="s">
        <v>713</v>
      </c>
      <c r="F155" t="s">
        <v>513</v>
      </c>
      <c r="G155" t="s">
        <v>103</v>
      </c>
      <c r="H155" t="b">
        <v>1</v>
      </c>
      <c r="I155" t="s">
        <v>1803</v>
      </c>
      <c r="J155" s="30">
        <f ca="1">YEARFRAC(W155,X155,1)</f>
        <v>76.750853363675148</v>
      </c>
      <c r="K155" t="s">
        <v>715</v>
      </c>
      <c r="L155" s="32">
        <v>10600</v>
      </c>
      <c r="M155" s="27">
        <v>1839758040766</v>
      </c>
      <c r="N155">
        <v>1950</v>
      </c>
      <c r="O155">
        <v>1</v>
      </c>
      <c r="P155">
        <v>1</v>
      </c>
      <c r="Q155">
        <v>167.4</v>
      </c>
      <c r="R155">
        <v>75.7</v>
      </c>
      <c r="S155">
        <v>14.2</v>
      </c>
      <c r="T155">
        <v>65.099999999999994</v>
      </c>
      <c r="U155">
        <v>212559417</v>
      </c>
      <c r="V155" s="30"/>
      <c r="W155" s="25">
        <f ca="1">TODAY()</f>
        <v>46297</v>
      </c>
      <c r="X155" s="25">
        <f>DATE(N155,O155,P155)</f>
        <v>18264</v>
      </c>
    </row>
    <row r="156" spans="1:24" x14ac:dyDescent="0.3">
      <c r="A156">
        <v>167</v>
      </c>
      <c r="B156" t="s">
        <v>49</v>
      </c>
      <c r="C156" t="s">
        <v>717</v>
      </c>
      <c r="D156" t="s">
        <v>327</v>
      </c>
      <c r="E156" t="s">
        <v>328</v>
      </c>
      <c r="F156" t="s">
        <v>718</v>
      </c>
      <c r="G156" t="s">
        <v>49</v>
      </c>
      <c r="H156" t="b">
        <v>1</v>
      </c>
      <c r="I156" t="s">
        <v>1803</v>
      </c>
      <c r="J156" s="30">
        <f ca="1">YEARFRAC(W156,X156,1)</f>
        <v>60.559201077199283</v>
      </c>
      <c r="K156" t="s">
        <v>720</v>
      </c>
      <c r="L156" s="32">
        <v>10500</v>
      </c>
      <c r="M156" s="27">
        <v>1699876578871</v>
      </c>
      <c r="N156">
        <v>1966</v>
      </c>
      <c r="O156">
        <v>3</v>
      </c>
      <c r="P156">
        <v>12</v>
      </c>
      <c r="Q156">
        <v>180.75</v>
      </c>
      <c r="R156">
        <v>72.7</v>
      </c>
      <c r="S156">
        <v>11.4</v>
      </c>
      <c r="T156">
        <v>46.2</v>
      </c>
      <c r="U156">
        <v>144373535</v>
      </c>
      <c r="V156" s="30"/>
      <c r="W156" s="25">
        <f ca="1">TODAY()</f>
        <v>46297</v>
      </c>
      <c r="X156" s="25">
        <f>DATE(N156,O156,P156)</f>
        <v>24178</v>
      </c>
    </row>
    <row r="157" spans="1:24" x14ac:dyDescent="0.3">
      <c r="A157">
        <v>167</v>
      </c>
      <c r="B157" t="s">
        <v>21</v>
      </c>
      <c r="C157" t="s">
        <v>721</v>
      </c>
      <c r="D157" t="s">
        <v>105</v>
      </c>
      <c r="E157" t="s">
        <v>602</v>
      </c>
      <c r="F157" t="s">
        <v>247</v>
      </c>
      <c r="G157" t="s">
        <v>21</v>
      </c>
      <c r="H157" t="b">
        <v>1</v>
      </c>
      <c r="I157" t="s">
        <v>1803</v>
      </c>
      <c r="J157" s="30">
        <f ca="1">YEARFRAC(W157,X157,1)</f>
        <v>42.750859544123266</v>
      </c>
      <c r="K157" t="s">
        <v>722</v>
      </c>
      <c r="L157" s="32">
        <v>10500</v>
      </c>
      <c r="M157" s="27">
        <v>19910000000000</v>
      </c>
      <c r="N157">
        <v>1984</v>
      </c>
      <c r="O157">
        <v>1</v>
      </c>
      <c r="P157">
        <v>1</v>
      </c>
      <c r="Q157">
        <v>125.08</v>
      </c>
      <c r="R157">
        <v>77</v>
      </c>
      <c r="S157">
        <v>9.4</v>
      </c>
      <c r="T157">
        <v>59.2</v>
      </c>
      <c r="U157">
        <v>1397715000</v>
      </c>
      <c r="V157" s="30"/>
      <c r="W157" s="25">
        <f ca="1">TODAY()</f>
        <v>46297</v>
      </c>
      <c r="X157" s="25">
        <f>DATE(N157,O157,P157)</f>
        <v>30682</v>
      </c>
    </row>
    <row r="158" spans="1:24" x14ac:dyDescent="0.3">
      <c r="A158">
        <v>167</v>
      </c>
      <c r="B158" t="s">
        <v>49</v>
      </c>
      <c r="C158" t="s">
        <v>723</v>
      </c>
      <c r="D158" t="s">
        <v>306</v>
      </c>
      <c r="E158" t="s">
        <v>645</v>
      </c>
      <c r="F158" t="s">
        <v>724</v>
      </c>
      <c r="G158" t="s">
        <v>49</v>
      </c>
      <c r="H158" t="b">
        <v>1</v>
      </c>
      <c r="I158" t="s">
        <v>1803</v>
      </c>
      <c r="J158" s="30">
        <f ca="1">YEARFRAC(W158,X158,1)</f>
        <v>49.060891468623367</v>
      </c>
      <c r="K158" t="s">
        <v>726</v>
      </c>
      <c r="L158" s="32">
        <v>10500</v>
      </c>
      <c r="M158" s="27">
        <v>421142267938</v>
      </c>
      <c r="N158">
        <v>1977</v>
      </c>
      <c r="O158">
        <v>9</v>
      </c>
      <c r="P158">
        <v>10</v>
      </c>
      <c r="Q158">
        <v>114.52</v>
      </c>
      <c r="R158">
        <v>77.8</v>
      </c>
      <c r="S158">
        <v>0.1</v>
      </c>
      <c r="T158">
        <v>15.9</v>
      </c>
      <c r="U158">
        <v>9770529</v>
      </c>
      <c r="V158" s="30"/>
      <c r="W158" s="25">
        <f ca="1">TODAY()</f>
        <v>46297</v>
      </c>
      <c r="X158" s="25">
        <f>DATE(N158,O158,P158)</f>
        <v>28378</v>
      </c>
    </row>
    <row r="159" spans="1:24" x14ac:dyDescent="0.3">
      <c r="A159">
        <v>170</v>
      </c>
      <c r="B159" t="s">
        <v>49</v>
      </c>
      <c r="C159" t="s">
        <v>727</v>
      </c>
      <c r="D159" t="s">
        <v>32</v>
      </c>
      <c r="E159" t="s">
        <v>592</v>
      </c>
      <c r="F159" t="s">
        <v>728</v>
      </c>
      <c r="G159" t="s">
        <v>49</v>
      </c>
      <c r="H159" t="b">
        <v>1</v>
      </c>
      <c r="I159" t="s">
        <v>1803</v>
      </c>
      <c r="J159" s="30">
        <f ca="1">YEARFRAC(W159,X159,1)</f>
        <v>73.83916186026137</v>
      </c>
      <c r="K159" t="s">
        <v>412</v>
      </c>
      <c r="L159" s="32">
        <v>10300</v>
      </c>
      <c r="M159" s="27">
        <v>21427700000000</v>
      </c>
      <c r="N159">
        <v>1952</v>
      </c>
      <c r="O159">
        <v>11</v>
      </c>
      <c r="P159">
        <v>29</v>
      </c>
      <c r="Q159">
        <v>117.24</v>
      </c>
      <c r="R159">
        <v>78.5</v>
      </c>
      <c r="S159">
        <v>9.6</v>
      </c>
      <c r="T159">
        <v>36.6</v>
      </c>
      <c r="U159">
        <v>328239523</v>
      </c>
      <c r="V159" s="30"/>
      <c r="W159" s="25">
        <f ca="1">TODAY()</f>
        <v>46297</v>
      </c>
      <c r="X159" s="25">
        <f>DATE(N159,O159,P159)</f>
        <v>19327</v>
      </c>
    </row>
    <row r="160" spans="1:24" x14ac:dyDescent="0.3">
      <c r="A160">
        <v>171</v>
      </c>
      <c r="B160" t="s">
        <v>38</v>
      </c>
      <c r="C160" t="s">
        <v>730</v>
      </c>
      <c r="D160" t="s">
        <v>274</v>
      </c>
      <c r="E160" t="s">
        <v>607</v>
      </c>
      <c r="F160" t="s">
        <v>731</v>
      </c>
      <c r="G160" t="s">
        <v>38</v>
      </c>
      <c r="H160" t="b">
        <v>1</v>
      </c>
      <c r="I160" t="s">
        <v>1803</v>
      </c>
      <c r="J160" s="30">
        <f ca="1">YEARFRAC(W160,X160,1)</f>
        <v>46.874743326488705</v>
      </c>
      <c r="K160" t="s">
        <v>733</v>
      </c>
      <c r="L160" s="32">
        <v>10200</v>
      </c>
      <c r="M160" s="27">
        <v>1392680589329</v>
      </c>
      <c r="N160">
        <v>1979</v>
      </c>
      <c r="O160">
        <v>11</v>
      </c>
      <c r="P160">
        <v>17</v>
      </c>
      <c r="Q160">
        <v>119.8</v>
      </c>
      <c r="R160">
        <v>82.7</v>
      </c>
      <c r="S160">
        <v>23</v>
      </c>
      <c r="T160">
        <v>47.4</v>
      </c>
      <c r="U160">
        <v>25766605</v>
      </c>
      <c r="V160" s="30"/>
      <c r="W160" s="25">
        <f ca="1">TODAY()</f>
        <v>46297</v>
      </c>
      <c r="X160" s="25">
        <f>DATE(N160,O160,P160)</f>
        <v>29176</v>
      </c>
    </row>
    <row r="161" spans="1:24" x14ac:dyDescent="0.3">
      <c r="A161">
        <v>171</v>
      </c>
      <c r="B161" t="s">
        <v>351</v>
      </c>
      <c r="C161" t="s">
        <v>734</v>
      </c>
      <c r="D161" t="s">
        <v>32</v>
      </c>
      <c r="E161" t="s">
        <v>735</v>
      </c>
      <c r="F161" t="s">
        <v>548</v>
      </c>
      <c r="G161" t="s">
        <v>351</v>
      </c>
      <c r="H161" t="b">
        <v>0</v>
      </c>
      <c r="I161" t="s">
        <v>1803</v>
      </c>
      <c r="J161" s="30">
        <f ca="1">YEARFRAC(W161,X161,1)</f>
        <v>64.121140642769888</v>
      </c>
      <c r="K161" t="s">
        <v>457</v>
      </c>
      <c r="L161" s="32">
        <v>10200</v>
      </c>
      <c r="M161" s="27">
        <v>21427700000000</v>
      </c>
      <c r="N161">
        <v>1962</v>
      </c>
      <c r="O161">
        <v>8</v>
      </c>
      <c r="P161">
        <v>19</v>
      </c>
      <c r="Q161">
        <v>117.24</v>
      </c>
      <c r="R161">
        <v>78.5</v>
      </c>
      <c r="S161">
        <v>9.6</v>
      </c>
      <c r="T161">
        <v>36.6</v>
      </c>
      <c r="U161">
        <v>328239523</v>
      </c>
      <c r="V161" s="30"/>
      <c r="W161" s="25">
        <f ca="1">TODAY()</f>
        <v>46297</v>
      </c>
      <c r="X161" s="25">
        <f>DATE(N161,O161,P161)</f>
        <v>22877</v>
      </c>
    </row>
    <row r="162" spans="1:24" x14ac:dyDescent="0.3">
      <c r="A162">
        <v>171</v>
      </c>
      <c r="B162" t="s">
        <v>38</v>
      </c>
      <c r="C162" t="s">
        <v>737</v>
      </c>
      <c r="D162" t="s">
        <v>32</v>
      </c>
      <c r="E162" t="s">
        <v>738</v>
      </c>
      <c r="F162" t="s">
        <v>739</v>
      </c>
      <c r="G162" t="s">
        <v>38</v>
      </c>
      <c r="H162" t="b">
        <v>1</v>
      </c>
      <c r="I162" t="s">
        <v>1803</v>
      </c>
      <c r="J162" s="30">
        <f ca="1">YEARFRAC(W162,X162,1)</f>
        <v>86.028070617113016</v>
      </c>
      <c r="K162" t="s">
        <v>137</v>
      </c>
      <c r="L162" s="32">
        <v>10200</v>
      </c>
      <c r="M162" s="27">
        <v>21427700000000</v>
      </c>
      <c r="N162">
        <v>1940</v>
      </c>
      <c r="O162">
        <v>9</v>
      </c>
      <c r="P162">
        <v>21</v>
      </c>
      <c r="Q162">
        <v>117.24</v>
      </c>
      <c r="R162">
        <v>78.5</v>
      </c>
      <c r="S162">
        <v>9.6</v>
      </c>
      <c r="T162">
        <v>36.6</v>
      </c>
      <c r="U162">
        <v>328239523</v>
      </c>
      <c r="V162" s="30"/>
      <c r="W162" s="25">
        <f ca="1">TODAY()</f>
        <v>46297</v>
      </c>
      <c r="X162" s="25">
        <f>DATE(N162,O162,P162)</f>
        <v>14875</v>
      </c>
    </row>
    <row r="163" spans="1:24" x14ac:dyDescent="0.3">
      <c r="A163">
        <v>171</v>
      </c>
      <c r="B163" t="s">
        <v>292</v>
      </c>
      <c r="C163" t="s">
        <v>741</v>
      </c>
      <c r="D163" t="s">
        <v>32</v>
      </c>
      <c r="E163" t="s">
        <v>742</v>
      </c>
      <c r="F163" t="s">
        <v>403</v>
      </c>
      <c r="G163" t="s">
        <v>292</v>
      </c>
      <c r="H163" t="b">
        <v>1</v>
      </c>
      <c r="I163" t="s">
        <v>1803</v>
      </c>
      <c r="J163" s="30">
        <f ca="1">YEARFRAC(W163,X163,1)</f>
        <v>67.578370978781663</v>
      </c>
      <c r="K163" t="s">
        <v>744</v>
      </c>
      <c r="L163" s="32">
        <v>10200</v>
      </c>
      <c r="M163" s="27">
        <v>21427700000000</v>
      </c>
      <c r="N163">
        <v>1959</v>
      </c>
      <c r="O163">
        <v>3</v>
      </c>
      <c r="P163">
        <v>5</v>
      </c>
      <c r="Q163">
        <v>117.24</v>
      </c>
      <c r="R163">
        <v>78.5</v>
      </c>
      <c r="S163">
        <v>9.6</v>
      </c>
      <c r="T163">
        <v>36.6</v>
      </c>
      <c r="U163">
        <v>328239523</v>
      </c>
      <c r="V163" s="30"/>
      <c r="W163" s="25">
        <f ca="1">TODAY()</f>
        <v>46297</v>
      </c>
      <c r="X163" s="25">
        <f>DATE(N163,O163,P163)</f>
        <v>21614</v>
      </c>
    </row>
    <row r="164" spans="1:24" x14ac:dyDescent="0.3">
      <c r="A164">
        <v>171</v>
      </c>
      <c r="B164" t="s">
        <v>250</v>
      </c>
      <c r="C164" t="s">
        <v>745</v>
      </c>
      <c r="D164" t="s">
        <v>327</v>
      </c>
      <c r="E164" t="s">
        <v>746</v>
      </c>
      <c r="F164" t="s">
        <v>449</v>
      </c>
      <c r="G164" t="s">
        <v>250</v>
      </c>
      <c r="H164" t="b">
        <v>1</v>
      </c>
      <c r="I164" t="s">
        <v>1803</v>
      </c>
      <c r="J164" s="30">
        <f ca="1">YEARFRAC(W164,X164,1)</f>
        <v>77.967839195979906</v>
      </c>
      <c r="K164" t="s">
        <v>748</v>
      </c>
      <c r="L164" s="32">
        <v>10200</v>
      </c>
      <c r="M164" s="27">
        <v>1699876578871</v>
      </c>
      <c r="N164">
        <v>1948</v>
      </c>
      <c r="O164">
        <v>10</v>
      </c>
      <c r="P164">
        <v>13</v>
      </c>
      <c r="Q164">
        <v>180.75</v>
      </c>
      <c r="R164">
        <v>72.7</v>
      </c>
      <c r="S164">
        <v>11.4</v>
      </c>
      <c r="T164">
        <v>46.2</v>
      </c>
      <c r="U164">
        <v>144373535</v>
      </c>
      <c r="V164" s="30"/>
      <c r="W164" s="25">
        <f ca="1">TODAY()</f>
        <v>46297</v>
      </c>
      <c r="X164" s="25">
        <f>DATE(N164,O164,P164)</f>
        <v>17819</v>
      </c>
    </row>
    <row r="165" spans="1:24" x14ac:dyDescent="0.3">
      <c r="A165">
        <v>171</v>
      </c>
      <c r="B165" t="s">
        <v>38</v>
      </c>
      <c r="C165" t="s">
        <v>749</v>
      </c>
      <c r="D165" t="s">
        <v>555</v>
      </c>
      <c r="E165" t="s">
        <v>555</v>
      </c>
      <c r="F165" t="s">
        <v>112</v>
      </c>
      <c r="G165" t="s">
        <v>38</v>
      </c>
      <c r="H165" t="b">
        <v>1</v>
      </c>
      <c r="I165" t="s">
        <v>1803</v>
      </c>
      <c r="J165" s="30">
        <f ca="1">YEARFRAC(W165,X165,1)</f>
        <v>44.540034071550252</v>
      </c>
      <c r="K165" t="s">
        <v>751</v>
      </c>
      <c r="L165" s="32">
        <v>10200</v>
      </c>
      <c r="M165" s="27">
        <v>372062527489</v>
      </c>
      <c r="N165">
        <v>1982</v>
      </c>
      <c r="O165">
        <v>3</v>
      </c>
      <c r="P165">
        <v>19</v>
      </c>
      <c r="Q165">
        <v>114.41</v>
      </c>
      <c r="R165">
        <v>83.1</v>
      </c>
      <c r="S165">
        <v>13.1</v>
      </c>
      <c r="T165">
        <v>21</v>
      </c>
      <c r="U165">
        <v>5703569</v>
      </c>
      <c r="V165" s="30"/>
      <c r="W165" s="25">
        <f ca="1">TODAY()</f>
        <v>46297</v>
      </c>
      <c r="X165" s="25">
        <f>DATE(N165,O165,P165)</f>
        <v>30029</v>
      </c>
    </row>
    <row r="166" spans="1:24" x14ac:dyDescent="0.3">
      <c r="A166">
        <v>171</v>
      </c>
      <c r="B166" t="s">
        <v>30</v>
      </c>
      <c r="C166" t="s">
        <v>752</v>
      </c>
      <c r="D166" t="s">
        <v>158</v>
      </c>
      <c r="E166" t="s">
        <v>753</v>
      </c>
      <c r="F166" t="s">
        <v>635</v>
      </c>
      <c r="G166" t="s">
        <v>30</v>
      </c>
      <c r="H166" t="b">
        <v>0</v>
      </c>
      <c r="I166" t="s">
        <v>1803</v>
      </c>
      <c r="J166" s="30">
        <f ca="1">YEARFRAC(W166,X166,1)</f>
        <v>61.95141454087176</v>
      </c>
      <c r="K166" t="s">
        <v>755</v>
      </c>
      <c r="L166" s="32">
        <v>10200</v>
      </c>
      <c r="M166" s="27">
        <v>3845630030824</v>
      </c>
      <c r="N166">
        <v>1964</v>
      </c>
      <c r="O166">
        <v>10</v>
      </c>
      <c r="P166">
        <v>19</v>
      </c>
      <c r="Q166">
        <v>112.85</v>
      </c>
      <c r="R166">
        <v>80.900000000000006</v>
      </c>
      <c r="S166">
        <v>11.5</v>
      </c>
      <c r="T166">
        <v>48.8</v>
      </c>
      <c r="U166">
        <v>83132799</v>
      </c>
      <c r="V166" s="30"/>
      <c r="W166" s="25">
        <f ca="1">TODAY()</f>
        <v>46297</v>
      </c>
      <c r="X166" s="25">
        <f>DATE(N166,O166,P166)</f>
        <v>23669</v>
      </c>
    </row>
    <row r="167" spans="1:24" x14ac:dyDescent="0.3">
      <c r="A167">
        <v>171</v>
      </c>
      <c r="B167" t="s">
        <v>21</v>
      </c>
      <c r="C167" t="s">
        <v>756</v>
      </c>
      <c r="D167" t="s">
        <v>32</v>
      </c>
      <c r="E167" t="s">
        <v>189</v>
      </c>
      <c r="F167" t="s">
        <v>124</v>
      </c>
      <c r="G167" t="s">
        <v>21</v>
      </c>
      <c r="H167" t="b">
        <v>0</v>
      </c>
      <c r="I167" t="s">
        <v>1804</v>
      </c>
      <c r="J167" s="30">
        <f ca="1">YEARFRAC(W167,X167,1)</f>
        <v>77.646811049878906</v>
      </c>
      <c r="K167" t="s">
        <v>757</v>
      </c>
      <c r="L167" s="32">
        <v>10200</v>
      </c>
      <c r="M167" s="27">
        <v>21427700000000</v>
      </c>
      <c r="N167">
        <v>1949</v>
      </c>
      <c r="O167">
        <v>2</v>
      </c>
      <c r="P167">
        <v>8</v>
      </c>
      <c r="Q167">
        <v>117.24</v>
      </c>
      <c r="R167">
        <v>78.5</v>
      </c>
      <c r="S167">
        <v>9.6</v>
      </c>
      <c r="T167">
        <v>36.6</v>
      </c>
      <c r="U167">
        <v>328239523</v>
      </c>
      <c r="V167" s="30"/>
      <c r="W167" s="25">
        <f ca="1">TODAY()</f>
        <v>46297</v>
      </c>
      <c r="X167" s="25">
        <f>DATE(N167,O167,P167)</f>
        <v>17937</v>
      </c>
    </row>
    <row r="168" spans="1:24" x14ac:dyDescent="0.3">
      <c r="A168">
        <v>179</v>
      </c>
      <c r="B168" t="s">
        <v>38</v>
      </c>
      <c r="C168" t="s">
        <v>758</v>
      </c>
      <c r="D168" t="s">
        <v>274</v>
      </c>
      <c r="E168" t="s">
        <v>607</v>
      </c>
      <c r="F168" t="s">
        <v>731</v>
      </c>
      <c r="G168" t="s">
        <v>38</v>
      </c>
      <c r="H168" t="b">
        <v>1</v>
      </c>
      <c r="I168" t="s">
        <v>1803</v>
      </c>
      <c r="J168" s="30">
        <f ca="1">YEARFRAC(W168,X168,1)</f>
        <v>46.792607802874741</v>
      </c>
      <c r="K168" t="s">
        <v>319</v>
      </c>
      <c r="L168" s="32">
        <v>10100</v>
      </c>
      <c r="M168" s="27">
        <v>1392680589329</v>
      </c>
      <c r="N168">
        <v>1979</v>
      </c>
      <c r="O168">
        <v>12</v>
      </c>
      <c r="P168">
        <v>17</v>
      </c>
      <c r="Q168">
        <v>119.8</v>
      </c>
      <c r="R168">
        <v>82.7</v>
      </c>
      <c r="S168">
        <v>23</v>
      </c>
      <c r="T168">
        <v>47.4</v>
      </c>
      <c r="U168">
        <v>25766605</v>
      </c>
      <c r="V168" s="30"/>
      <c r="W168" s="25">
        <f ca="1">TODAY()</f>
        <v>46297</v>
      </c>
      <c r="X168" s="25">
        <f>DATE(N168,O168,P168)</f>
        <v>29206</v>
      </c>
    </row>
    <row r="169" spans="1:24" x14ac:dyDescent="0.3">
      <c r="A169">
        <v>179</v>
      </c>
      <c r="B169" t="s">
        <v>72</v>
      </c>
      <c r="C169" t="s">
        <v>760</v>
      </c>
      <c r="D169" t="s">
        <v>761</v>
      </c>
      <c r="E169" t="s">
        <v>762</v>
      </c>
      <c r="F169" t="s">
        <v>763</v>
      </c>
      <c r="G169" t="s">
        <v>72</v>
      </c>
      <c r="H169" t="b">
        <v>0</v>
      </c>
      <c r="I169" t="s">
        <v>1803</v>
      </c>
      <c r="J169" s="30">
        <f ca="1">YEARFRAC(W169,X169,1)</f>
        <v>85.140301168380503</v>
      </c>
      <c r="K169" t="s">
        <v>765</v>
      </c>
      <c r="L169" s="32">
        <v>10100</v>
      </c>
      <c r="M169" s="27">
        <v>364701517788</v>
      </c>
      <c r="N169">
        <v>1941</v>
      </c>
      <c r="O169">
        <v>8</v>
      </c>
      <c r="P169">
        <v>12</v>
      </c>
      <c r="Q169">
        <v>121.46</v>
      </c>
      <c r="R169">
        <v>76</v>
      </c>
      <c r="S169">
        <v>12</v>
      </c>
      <c r="T169">
        <v>38.700000000000003</v>
      </c>
      <c r="U169">
        <v>32447385</v>
      </c>
      <c r="V169" s="30"/>
      <c r="W169" s="25">
        <f ca="1">TODAY()</f>
        <v>46297</v>
      </c>
      <c r="X169" s="25">
        <f>DATE(N169,O169,P169)</f>
        <v>15200</v>
      </c>
    </row>
    <row r="170" spans="1:24" x14ac:dyDescent="0.3">
      <c r="A170">
        <v>179</v>
      </c>
      <c r="B170" t="s">
        <v>462</v>
      </c>
      <c r="C170" t="s">
        <v>767</v>
      </c>
      <c r="D170" t="s">
        <v>105</v>
      </c>
      <c r="E170" t="s">
        <v>153</v>
      </c>
      <c r="F170" t="s">
        <v>465</v>
      </c>
      <c r="G170" t="s">
        <v>462</v>
      </c>
      <c r="H170" t="b">
        <v>1</v>
      </c>
      <c r="I170" t="s">
        <v>1804</v>
      </c>
      <c r="J170" s="30">
        <f ca="1">YEARFRAC(W170,X170,1)</f>
        <v>62.750858285167965</v>
      </c>
      <c r="K170" t="s">
        <v>769</v>
      </c>
      <c r="L170" s="32">
        <v>10100</v>
      </c>
      <c r="M170" s="27">
        <v>19910000000000</v>
      </c>
      <c r="N170">
        <v>1964</v>
      </c>
      <c r="O170">
        <v>1</v>
      </c>
      <c r="P170">
        <v>1</v>
      </c>
      <c r="Q170">
        <v>125.08</v>
      </c>
      <c r="R170">
        <v>77</v>
      </c>
      <c r="S170">
        <v>9.4</v>
      </c>
      <c r="T170">
        <v>59.2</v>
      </c>
      <c r="U170">
        <v>1397715000</v>
      </c>
      <c r="V170" s="30"/>
      <c r="W170" s="25">
        <f ca="1">TODAY()</f>
        <v>46297</v>
      </c>
      <c r="X170" s="25">
        <f>DATE(N170,O170,P170)</f>
        <v>23377</v>
      </c>
    </row>
    <row r="171" spans="1:24" x14ac:dyDescent="0.3">
      <c r="A171">
        <v>182</v>
      </c>
      <c r="B171" t="s">
        <v>292</v>
      </c>
      <c r="C171" t="s">
        <v>770</v>
      </c>
      <c r="D171" t="s">
        <v>32</v>
      </c>
      <c r="E171" t="s">
        <v>771</v>
      </c>
      <c r="F171" t="s">
        <v>403</v>
      </c>
      <c r="G171" t="s">
        <v>292</v>
      </c>
      <c r="H171" t="b">
        <v>1</v>
      </c>
      <c r="I171" t="s">
        <v>1803</v>
      </c>
      <c r="J171" s="30">
        <f ca="1">YEARFRAC(W171,X171,1)</f>
        <v>88.57015412065094</v>
      </c>
      <c r="K171" t="s">
        <v>773</v>
      </c>
      <c r="L171" s="32">
        <v>10000</v>
      </c>
      <c r="M171" s="27">
        <v>21427700000000</v>
      </c>
      <c r="N171">
        <v>1938</v>
      </c>
      <c r="O171">
        <v>3</v>
      </c>
      <c r="P171">
        <v>8</v>
      </c>
      <c r="Q171">
        <v>117.24</v>
      </c>
      <c r="R171">
        <v>78.5</v>
      </c>
      <c r="S171">
        <v>9.6</v>
      </c>
      <c r="T171">
        <v>36.6</v>
      </c>
      <c r="U171">
        <v>328239523</v>
      </c>
      <c r="V171" s="30"/>
      <c r="W171" s="25">
        <f ca="1">TODAY()</f>
        <v>46297</v>
      </c>
      <c r="X171" s="25">
        <f>DATE(N171,O171,P171)</f>
        <v>13947</v>
      </c>
    </row>
    <row r="172" spans="1:24" x14ac:dyDescent="0.3">
      <c r="A172">
        <v>183</v>
      </c>
      <c r="B172" t="s">
        <v>381</v>
      </c>
      <c r="C172" t="s">
        <v>774</v>
      </c>
      <c r="D172" t="s">
        <v>105</v>
      </c>
      <c r="E172" t="s">
        <v>246</v>
      </c>
      <c r="F172" t="s">
        <v>72</v>
      </c>
      <c r="G172" t="s">
        <v>381</v>
      </c>
      <c r="H172" t="b">
        <v>1</v>
      </c>
      <c r="I172" t="s">
        <v>1803</v>
      </c>
      <c r="J172" s="30">
        <f ca="1">YEARFRAC(W172,X172,1)</f>
        <v>78.334708022872988</v>
      </c>
      <c r="K172" t="s">
        <v>775</v>
      </c>
      <c r="L172" s="32">
        <v>9900</v>
      </c>
      <c r="M172" s="27">
        <v>19910000000000</v>
      </c>
      <c r="N172">
        <v>1948</v>
      </c>
      <c r="O172">
        <v>6</v>
      </c>
      <c r="P172">
        <v>1</v>
      </c>
      <c r="Q172">
        <v>125.08</v>
      </c>
      <c r="R172">
        <v>77</v>
      </c>
      <c r="S172">
        <v>9.4</v>
      </c>
      <c r="T172">
        <v>59.2</v>
      </c>
      <c r="U172">
        <v>1397715000</v>
      </c>
      <c r="V172" s="30"/>
      <c r="W172" s="25">
        <f ca="1">TODAY()</f>
        <v>46297</v>
      </c>
      <c r="X172" s="25">
        <f>DATE(N172,O172,P172)</f>
        <v>17685</v>
      </c>
    </row>
    <row r="173" spans="1:24" x14ac:dyDescent="0.3">
      <c r="A173">
        <v>184</v>
      </c>
      <c r="B173" t="s">
        <v>72</v>
      </c>
      <c r="C173" t="s">
        <v>776</v>
      </c>
      <c r="D173" t="s">
        <v>306</v>
      </c>
      <c r="E173" t="s">
        <v>645</v>
      </c>
      <c r="F173" t="s">
        <v>144</v>
      </c>
      <c r="G173" t="s">
        <v>72</v>
      </c>
      <c r="H173" t="b">
        <v>1</v>
      </c>
      <c r="I173" t="s">
        <v>1803</v>
      </c>
      <c r="J173" s="30">
        <f ca="1">YEARFRAC(W173,X173,1)</f>
        <v>77.7262101161852</v>
      </c>
      <c r="K173" t="s">
        <v>777</v>
      </c>
      <c r="L173" s="32">
        <v>9800</v>
      </c>
      <c r="M173" s="27">
        <v>421142267938</v>
      </c>
      <c r="N173">
        <v>1949</v>
      </c>
      <c r="O173">
        <v>1</v>
      </c>
      <c r="P173">
        <v>10</v>
      </c>
      <c r="Q173">
        <v>114.52</v>
      </c>
      <c r="R173">
        <v>77.8</v>
      </c>
      <c r="S173">
        <v>0.1</v>
      </c>
      <c r="T173">
        <v>15.9</v>
      </c>
      <c r="U173">
        <v>9770529</v>
      </c>
      <c r="V173" s="30"/>
      <c r="W173" s="25">
        <f ca="1">TODAY()</f>
        <v>46297</v>
      </c>
      <c r="X173" s="25">
        <f>DATE(N173,O173,P173)</f>
        <v>17908</v>
      </c>
    </row>
    <row r="174" spans="1:24" x14ac:dyDescent="0.3">
      <c r="A174">
        <v>184</v>
      </c>
      <c r="B174" t="s">
        <v>21</v>
      </c>
      <c r="C174" t="s">
        <v>778</v>
      </c>
      <c r="D174" t="s">
        <v>170</v>
      </c>
      <c r="E174" t="s">
        <v>779</v>
      </c>
      <c r="F174" t="s">
        <v>780</v>
      </c>
      <c r="G174" t="s">
        <v>21</v>
      </c>
      <c r="H174" t="b">
        <v>0</v>
      </c>
      <c r="I174" t="s">
        <v>1803</v>
      </c>
      <c r="J174" s="30">
        <f ca="1">YEARFRAC(W174,X174,1)</f>
        <v>83.674195756331287</v>
      </c>
      <c r="K174" t="s">
        <v>782</v>
      </c>
      <c r="L174" s="32">
        <v>9800</v>
      </c>
      <c r="M174" s="27">
        <v>703082435360</v>
      </c>
      <c r="N174">
        <v>1943</v>
      </c>
      <c r="O174">
        <v>1</v>
      </c>
      <c r="P174">
        <v>29</v>
      </c>
      <c r="Q174">
        <v>99.55</v>
      </c>
      <c r="R174">
        <v>83.6</v>
      </c>
      <c r="S174">
        <v>10.1</v>
      </c>
      <c r="T174">
        <v>28.8</v>
      </c>
      <c r="U174">
        <v>8574832</v>
      </c>
      <c r="V174" s="30"/>
      <c r="W174" s="25">
        <f ca="1">TODAY()</f>
        <v>46297</v>
      </c>
      <c r="X174" s="25">
        <f>DATE(N174,O174,P174)</f>
        <v>15735</v>
      </c>
    </row>
    <row r="175" spans="1:24" x14ac:dyDescent="0.3">
      <c r="A175">
        <v>184</v>
      </c>
      <c r="B175" t="s">
        <v>168</v>
      </c>
      <c r="C175" t="s">
        <v>783</v>
      </c>
      <c r="D175" t="s">
        <v>23</v>
      </c>
      <c r="E175" t="s">
        <v>784</v>
      </c>
      <c r="F175" t="s">
        <v>172</v>
      </c>
      <c r="G175" t="s">
        <v>168</v>
      </c>
      <c r="H175" t="b">
        <v>0</v>
      </c>
      <c r="I175" t="s">
        <v>1803</v>
      </c>
      <c r="J175" s="30">
        <f ca="1">YEARFRAC(W175,X175,1)</f>
        <v>55.145790554414788</v>
      </c>
      <c r="K175" t="s">
        <v>786</v>
      </c>
      <c r="L175" s="32">
        <v>9800</v>
      </c>
      <c r="M175" s="27">
        <v>2715518274227</v>
      </c>
      <c r="N175">
        <v>1971</v>
      </c>
      <c r="O175">
        <v>8</v>
      </c>
      <c r="P175">
        <v>10</v>
      </c>
      <c r="Q175">
        <v>110.05</v>
      </c>
      <c r="R175">
        <v>82.5</v>
      </c>
      <c r="S175">
        <v>24.2</v>
      </c>
      <c r="T175">
        <v>60.7</v>
      </c>
      <c r="U175">
        <v>67059887</v>
      </c>
      <c r="V175" s="30"/>
      <c r="W175" s="25">
        <f ca="1">TODAY()</f>
        <v>46297</v>
      </c>
      <c r="X175" s="25">
        <f>DATE(N175,O175,P175)</f>
        <v>26155</v>
      </c>
    </row>
    <row r="176" spans="1:24" x14ac:dyDescent="0.3">
      <c r="A176">
        <v>184</v>
      </c>
      <c r="B176" t="s">
        <v>168</v>
      </c>
      <c r="C176" t="s">
        <v>787</v>
      </c>
      <c r="D176" t="s">
        <v>23</v>
      </c>
      <c r="E176" t="s">
        <v>784</v>
      </c>
      <c r="F176" t="s">
        <v>172</v>
      </c>
      <c r="G176" t="s">
        <v>168</v>
      </c>
      <c r="H176" t="b">
        <v>0</v>
      </c>
      <c r="I176" t="s">
        <v>1803</v>
      </c>
      <c r="J176" s="30">
        <f ca="1">YEARFRAC(W176,X176,1)</f>
        <v>56.583841683077956</v>
      </c>
      <c r="K176" t="s">
        <v>788</v>
      </c>
      <c r="L176" s="32">
        <v>9800</v>
      </c>
      <c r="M176" s="27">
        <v>2715518274227</v>
      </c>
      <c r="N176">
        <v>1970</v>
      </c>
      <c r="O176">
        <v>3</v>
      </c>
      <c r="P176">
        <v>3</v>
      </c>
      <c r="Q176">
        <v>110.05</v>
      </c>
      <c r="R176">
        <v>82.5</v>
      </c>
      <c r="S176">
        <v>24.2</v>
      </c>
      <c r="T176">
        <v>60.7</v>
      </c>
      <c r="U176">
        <v>67059887</v>
      </c>
      <c r="V176" s="30"/>
      <c r="W176" s="25">
        <f ca="1">TODAY()</f>
        <v>46297</v>
      </c>
      <c r="X176" s="25">
        <f>DATE(N176,O176,P176)</f>
        <v>25630</v>
      </c>
    </row>
    <row r="177" spans="1:24" x14ac:dyDescent="0.3">
      <c r="A177">
        <v>184</v>
      </c>
      <c r="B177" t="s">
        <v>168</v>
      </c>
      <c r="C177" t="s">
        <v>789</v>
      </c>
      <c r="D177" t="s">
        <v>23</v>
      </c>
      <c r="E177" t="s">
        <v>784</v>
      </c>
      <c r="F177" t="s">
        <v>172</v>
      </c>
      <c r="G177" t="s">
        <v>168</v>
      </c>
      <c r="H177" t="b">
        <v>0</v>
      </c>
      <c r="I177" t="s">
        <v>1804</v>
      </c>
      <c r="J177" s="30">
        <f ca="1">YEARFRAC(W177,X177,1)</f>
        <v>58.665986078886313</v>
      </c>
      <c r="K177" t="s">
        <v>791</v>
      </c>
      <c r="L177" s="32">
        <v>9800</v>
      </c>
      <c r="M177" s="27">
        <v>2715518274227</v>
      </c>
      <c r="N177">
        <v>1968</v>
      </c>
      <c r="O177">
        <v>2</v>
      </c>
      <c r="P177">
        <v>1</v>
      </c>
      <c r="Q177">
        <v>110.05</v>
      </c>
      <c r="R177">
        <v>82.5</v>
      </c>
      <c r="S177">
        <v>24.2</v>
      </c>
      <c r="T177">
        <v>60.7</v>
      </c>
      <c r="U177">
        <v>67059887</v>
      </c>
      <c r="V177" s="30"/>
      <c r="W177" s="25">
        <f ca="1">TODAY()</f>
        <v>46297</v>
      </c>
      <c r="X177" s="25">
        <f>DATE(N177,O177,P177)</f>
        <v>24869</v>
      </c>
    </row>
    <row r="178" spans="1:24" x14ac:dyDescent="0.3">
      <c r="A178">
        <v>184</v>
      </c>
      <c r="B178" t="s">
        <v>49</v>
      </c>
      <c r="C178" t="s">
        <v>792</v>
      </c>
      <c r="D178" t="s">
        <v>497</v>
      </c>
      <c r="E178" t="s">
        <v>498</v>
      </c>
      <c r="F178" t="s">
        <v>264</v>
      </c>
      <c r="G178" t="s">
        <v>49</v>
      </c>
      <c r="H178" t="b">
        <v>1</v>
      </c>
      <c r="I178" t="s">
        <v>1803</v>
      </c>
      <c r="J178" s="30">
        <f ca="1">YEARFRAC(W178,X178,1)</f>
        <v>79.383983572895275</v>
      </c>
      <c r="K178" t="s">
        <v>794</v>
      </c>
      <c r="L178" s="32">
        <v>9800</v>
      </c>
      <c r="M178" s="27">
        <v>530832908738</v>
      </c>
      <c r="N178">
        <v>1947</v>
      </c>
      <c r="O178">
        <v>5</v>
      </c>
      <c r="P178">
        <v>15</v>
      </c>
      <c r="Q178">
        <v>110.51</v>
      </c>
      <c r="R178">
        <v>82.5</v>
      </c>
      <c r="S178">
        <v>27.9</v>
      </c>
      <c r="T178">
        <v>49.1</v>
      </c>
      <c r="U178">
        <v>10285453</v>
      </c>
      <c r="V178" s="30"/>
      <c r="W178" s="25">
        <f ca="1">TODAY()</f>
        <v>46297</v>
      </c>
      <c r="X178" s="25">
        <f>DATE(N178,O178,P178)</f>
        <v>17302</v>
      </c>
    </row>
    <row r="179" spans="1:24" x14ac:dyDescent="0.3">
      <c r="A179">
        <v>190</v>
      </c>
      <c r="B179" t="s">
        <v>250</v>
      </c>
      <c r="C179" t="s">
        <v>795</v>
      </c>
      <c r="D179" t="s">
        <v>327</v>
      </c>
      <c r="E179" t="s">
        <v>328</v>
      </c>
      <c r="F179" t="s">
        <v>796</v>
      </c>
      <c r="G179" t="s">
        <v>250</v>
      </c>
      <c r="H179" t="b">
        <v>1</v>
      </c>
      <c r="I179" t="s">
        <v>1803</v>
      </c>
      <c r="J179" s="30">
        <f ca="1">YEARFRAC(W179,X179,1)</f>
        <v>66.523618829682903</v>
      </c>
      <c r="K179" t="s">
        <v>798</v>
      </c>
      <c r="L179" s="32">
        <v>9700</v>
      </c>
      <c r="M179" s="27">
        <v>1699876578871</v>
      </c>
      <c r="N179">
        <v>1960</v>
      </c>
      <c r="O179">
        <v>3</v>
      </c>
      <c r="P179">
        <v>24</v>
      </c>
      <c r="Q179">
        <v>180.75</v>
      </c>
      <c r="R179">
        <v>72.7</v>
      </c>
      <c r="S179">
        <v>11.4</v>
      </c>
      <c r="T179">
        <v>46.2</v>
      </c>
      <c r="U179">
        <v>144373535</v>
      </c>
      <c r="V179" s="30"/>
      <c r="W179" s="25">
        <f ca="1">TODAY()</f>
        <v>46297</v>
      </c>
      <c r="X179" s="25">
        <f>DATE(N179,O179,P179)</f>
        <v>21999</v>
      </c>
    </row>
    <row r="180" spans="1:24" x14ac:dyDescent="0.3">
      <c r="A180">
        <v>190</v>
      </c>
      <c r="B180" t="s">
        <v>49</v>
      </c>
      <c r="C180" t="s">
        <v>799</v>
      </c>
      <c r="D180" t="s">
        <v>800</v>
      </c>
      <c r="E180" t="s">
        <v>801</v>
      </c>
      <c r="F180" t="s">
        <v>802</v>
      </c>
      <c r="G180" t="s">
        <v>49</v>
      </c>
      <c r="H180" t="b">
        <v>1</v>
      </c>
      <c r="I180" t="s">
        <v>1803</v>
      </c>
      <c r="J180" s="30">
        <f ca="1">YEARFRAC(W180,X180,1)</f>
        <v>63.003422313483917</v>
      </c>
      <c r="K180" t="s">
        <v>64</v>
      </c>
      <c r="L180" s="32">
        <v>9700</v>
      </c>
      <c r="M180" s="27">
        <v>2029000000000</v>
      </c>
      <c r="N180">
        <v>1963</v>
      </c>
      <c r="O180">
        <v>10</v>
      </c>
      <c r="P180">
        <v>1</v>
      </c>
      <c r="Q180">
        <v>115.16</v>
      </c>
      <c r="R180">
        <v>82.6</v>
      </c>
      <c r="S180">
        <v>15.6</v>
      </c>
      <c r="T180">
        <v>33.200000000000003</v>
      </c>
      <c r="U180">
        <v>51709098</v>
      </c>
      <c r="V180" s="30"/>
      <c r="W180" s="25">
        <f ca="1">TODAY()</f>
        <v>46297</v>
      </c>
      <c r="X180" s="25">
        <f>DATE(N180,O180,P180)</f>
        <v>23285</v>
      </c>
    </row>
    <row r="181" spans="1:24" x14ac:dyDescent="0.3">
      <c r="A181">
        <v>190</v>
      </c>
      <c r="B181" t="s">
        <v>38</v>
      </c>
      <c r="C181" t="s">
        <v>805</v>
      </c>
      <c r="D181" t="s">
        <v>105</v>
      </c>
      <c r="E181" t="s">
        <v>153</v>
      </c>
      <c r="F181" t="s">
        <v>806</v>
      </c>
      <c r="G181" t="s">
        <v>38</v>
      </c>
      <c r="H181" t="b">
        <v>1</v>
      </c>
      <c r="I181" t="s">
        <v>1803</v>
      </c>
      <c r="J181" s="30">
        <f ca="1">YEARFRAC(W181,X181,1)</f>
        <v>56.795317220543808</v>
      </c>
      <c r="K181" t="s">
        <v>808</v>
      </c>
      <c r="L181" s="32">
        <v>9700</v>
      </c>
      <c r="M181" s="27">
        <v>19910000000000</v>
      </c>
      <c r="N181">
        <v>1969</v>
      </c>
      <c r="O181">
        <v>12</v>
      </c>
      <c r="P181">
        <v>16</v>
      </c>
      <c r="Q181">
        <v>125.08</v>
      </c>
      <c r="R181">
        <v>77</v>
      </c>
      <c r="S181">
        <v>9.4</v>
      </c>
      <c r="T181">
        <v>59.2</v>
      </c>
      <c r="U181">
        <v>1397715000</v>
      </c>
      <c r="V181" s="30"/>
      <c r="W181" s="25">
        <f ca="1">TODAY()</f>
        <v>46297</v>
      </c>
      <c r="X181" s="25">
        <f>DATE(N181,O181,P181)</f>
        <v>25553</v>
      </c>
    </row>
    <row r="182" spans="1:24" x14ac:dyDescent="0.3">
      <c r="A182">
        <v>190</v>
      </c>
      <c r="B182" t="s">
        <v>250</v>
      </c>
      <c r="C182" t="s">
        <v>809</v>
      </c>
      <c r="D182" t="s">
        <v>158</v>
      </c>
      <c r="E182" t="s">
        <v>810</v>
      </c>
      <c r="F182" t="s">
        <v>250</v>
      </c>
      <c r="G182" t="s">
        <v>250</v>
      </c>
      <c r="H182" t="b">
        <v>0</v>
      </c>
      <c r="I182" t="s">
        <v>1803</v>
      </c>
      <c r="J182" s="30">
        <f ca="1">YEARFRAC(W182,X182,1)</f>
        <v>80.132093966537084</v>
      </c>
      <c r="K182" t="s">
        <v>812</v>
      </c>
      <c r="L182" s="32">
        <v>9700</v>
      </c>
      <c r="M182" s="27">
        <v>3845630030824</v>
      </c>
      <c r="N182">
        <v>1946</v>
      </c>
      <c r="O182">
        <v>8</v>
      </c>
      <c r="P182">
        <v>15</v>
      </c>
      <c r="Q182">
        <v>112.85</v>
      </c>
      <c r="R182">
        <v>80.900000000000006</v>
      </c>
      <c r="S182">
        <v>11.5</v>
      </c>
      <c r="T182">
        <v>48.8</v>
      </c>
      <c r="U182">
        <v>83132799</v>
      </c>
      <c r="V182" s="30"/>
      <c r="W182" s="25">
        <f ca="1">TODAY()</f>
        <v>46297</v>
      </c>
      <c r="X182" s="25">
        <f>DATE(N182,O182,P182)</f>
        <v>17029</v>
      </c>
    </row>
    <row r="183" spans="1:24" x14ac:dyDescent="0.3">
      <c r="A183">
        <v>190</v>
      </c>
      <c r="B183" t="s">
        <v>351</v>
      </c>
      <c r="C183" t="s">
        <v>813</v>
      </c>
      <c r="D183" t="s">
        <v>105</v>
      </c>
      <c r="E183" t="s">
        <v>814</v>
      </c>
      <c r="F183" t="s">
        <v>517</v>
      </c>
      <c r="G183" t="s">
        <v>351</v>
      </c>
      <c r="H183" t="b">
        <v>1</v>
      </c>
      <c r="I183" t="s">
        <v>1803</v>
      </c>
      <c r="J183" s="30">
        <f ca="1">YEARFRAC(W183,X183,1)</f>
        <v>68.085548765970955</v>
      </c>
      <c r="K183" t="s">
        <v>816</v>
      </c>
      <c r="L183" s="32">
        <v>9700</v>
      </c>
      <c r="M183" s="27">
        <v>19910000000000</v>
      </c>
      <c r="N183">
        <v>1958</v>
      </c>
      <c r="O183">
        <v>9</v>
      </c>
      <c r="P183">
        <v>1</v>
      </c>
      <c r="Q183">
        <v>125.08</v>
      </c>
      <c r="R183">
        <v>77</v>
      </c>
      <c r="S183">
        <v>9.4</v>
      </c>
      <c r="T183">
        <v>59.2</v>
      </c>
      <c r="U183">
        <v>1397715000</v>
      </c>
      <c r="V183" s="30"/>
      <c r="W183" s="25">
        <f ca="1">TODAY()</f>
        <v>46297</v>
      </c>
      <c r="X183" s="25">
        <f>DATE(N183,O183,P183)</f>
        <v>21429</v>
      </c>
    </row>
    <row r="184" spans="1:24" x14ac:dyDescent="0.3">
      <c r="A184">
        <v>195</v>
      </c>
      <c r="B184" t="s">
        <v>38</v>
      </c>
      <c r="C184" t="s">
        <v>817</v>
      </c>
      <c r="D184" t="s">
        <v>32</v>
      </c>
      <c r="E184" t="s">
        <v>818</v>
      </c>
      <c r="F184" t="s">
        <v>819</v>
      </c>
      <c r="G184" t="s">
        <v>38</v>
      </c>
      <c r="H184" t="b">
        <v>0</v>
      </c>
      <c r="I184" t="s">
        <v>1803</v>
      </c>
      <c r="J184" s="30">
        <f ca="1">YEARFRAC(W184,X184,1)</f>
        <v>74.1868657370227</v>
      </c>
      <c r="K184" t="s">
        <v>820</v>
      </c>
      <c r="L184" s="32">
        <v>9600</v>
      </c>
      <c r="M184" s="27">
        <v>21427700000000</v>
      </c>
      <c r="N184">
        <v>1952</v>
      </c>
      <c r="O184">
        <v>7</v>
      </c>
      <c r="P184">
        <v>25</v>
      </c>
      <c r="Q184">
        <v>117.24</v>
      </c>
      <c r="R184">
        <v>78.5</v>
      </c>
      <c r="S184">
        <v>9.6</v>
      </c>
      <c r="T184">
        <v>36.6</v>
      </c>
      <c r="U184">
        <v>328239523</v>
      </c>
      <c r="V184" s="30"/>
      <c r="W184" s="25">
        <f ca="1">TODAY()</f>
        <v>46297</v>
      </c>
      <c r="X184" s="25">
        <f>DATE(N184,O184,P184)</f>
        <v>19200</v>
      </c>
    </row>
    <row r="185" spans="1:24" x14ac:dyDescent="0.3">
      <c r="A185">
        <v>195</v>
      </c>
      <c r="B185" t="s">
        <v>292</v>
      </c>
      <c r="C185" t="s">
        <v>821</v>
      </c>
      <c r="D185" t="s">
        <v>105</v>
      </c>
      <c r="E185" t="s">
        <v>822</v>
      </c>
      <c r="F185" t="s">
        <v>823</v>
      </c>
      <c r="G185" t="s">
        <v>292</v>
      </c>
      <c r="H185" t="b">
        <v>1</v>
      </c>
      <c r="I185" t="s">
        <v>1803</v>
      </c>
      <c r="J185" s="30">
        <f ca="1">YEARFRAC(W185,X185,1)</f>
        <v>74.082828356574439</v>
      </c>
      <c r="K185" t="s">
        <v>825</v>
      </c>
      <c r="L185" s="32">
        <v>9600</v>
      </c>
      <c r="M185" s="27">
        <v>19910000000000</v>
      </c>
      <c r="N185">
        <v>1952</v>
      </c>
      <c r="O185">
        <v>9</v>
      </c>
      <c r="P185">
        <v>1</v>
      </c>
      <c r="Q185">
        <v>125.08</v>
      </c>
      <c r="R185">
        <v>77</v>
      </c>
      <c r="S185">
        <v>9.4</v>
      </c>
      <c r="T185">
        <v>59.2</v>
      </c>
      <c r="U185">
        <v>1397715000</v>
      </c>
      <c r="V185" s="30"/>
      <c r="W185" s="25">
        <f ca="1">TODAY()</f>
        <v>46297</v>
      </c>
      <c r="X185" s="25">
        <f>DATE(N185,O185,P185)</f>
        <v>19238</v>
      </c>
    </row>
    <row r="186" spans="1:24" x14ac:dyDescent="0.3">
      <c r="A186">
        <v>195</v>
      </c>
      <c r="B186" t="s">
        <v>250</v>
      </c>
      <c r="C186" t="s">
        <v>826</v>
      </c>
      <c r="D186" t="s">
        <v>105</v>
      </c>
      <c r="E186" t="s">
        <v>827</v>
      </c>
      <c r="F186" t="s">
        <v>348</v>
      </c>
      <c r="G186" t="s">
        <v>250</v>
      </c>
      <c r="H186" t="b">
        <v>1</v>
      </c>
      <c r="I186" t="s">
        <v>1803</v>
      </c>
      <c r="J186" s="30">
        <f ca="1">YEARFRAC(W186,X186,1)</f>
        <v>70.586588516561903</v>
      </c>
      <c r="K186" t="s">
        <v>829</v>
      </c>
      <c r="L186" s="32">
        <v>9600</v>
      </c>
      <c r="M186" s="27">
        <v>19910000000000</v>
      </c>
      <c r="N186">
        <v>1956</v>
      </c>
      <c r="O186">
        <v>3</v>
      </c>
      <c r="P186">
        <v>1</v>
      </c>
      <c r="Q186">
        <v>125.08</v>
      </c>
      <c r="R186">
        <v>77</v>
      </c>
      <c r="S186">
        <v>9.4</v>
      </c>
      <c r="T186">
        <v>59.2</v>
      </c>
      <c r="U186">
        <v>1397715000</v>
      </c>
      <c r="V186" s="30"/>
      <c r="W186" s="25">
        <f ca="1">TODAY()</f>
        <v>46297</v>
      </c>
      <c r="X186" s="25">
        <f>DATE(N186,O186,P186)</f>
        <v>20515</v>
      </c>
    </row>
    <row r="187" spans="1:24" x14ac:dyDescent="0.3">
      <c r="A187">
        <v>195</v>
      </c>
      <c r="B187" t="s">
        <v>103</v>
      </c>
      <c r="C187" t="s">
        <v>830</v>
      </c>
      <c r="D187" t="s">
        <v>32</v>
      </c>
      <c r="E187" t="s">
        <v>831</v>
      </c>
      <c r="F187" t="s">
        <v>185</v>
      </c>
      <c r="G187" t="s">
        <v>103</v>
      </c>
      <c r="H187" t="b">
        <v>0</v>
      </c>
      <c r="I187" t="s">
        <v>1804</v>
      </c>
      <c r="J187" s="30">
        <f ca="1">YEARFRAC(W187,X187,1)</f>
        <v>62.178653687366911</v>
      </c>
      <c r="K187" t="s">
        <v>832</v>
      </c>
      <c r="L187" s="32">
        <v>9600</v>
      </c>
      <c r="M187" s="27">
        <v>21427700000000</v>
      </c>
      <c r="N187">
        <v>1964</v>
      </c>
      <c r="O187">
        <v>7</v>
      </c>
      <c r="P187">
        <v>28</v>
      </c>
      <c r="Q187">
        <v>117.24</v>
      </c>
      <c r="R187">
        <v>78.5</v>
      </c>
      <c r="S187">
        <v>9.6</v>
      </c>
      <c r="T187">
        <v>36.6</v>
      </c>
      <c r="U187">
        <v>328239523</v>
      </c>
      <c r="V187" s="30"/>
      <c r="W187" s="25">
        <f ca="1">TODAY()</f>
        <v>46297</v>
      </c>
      <c r="X187" s="25">
        <f>DATE(N187,O187,P187)</f>
        <v>23586</v>
      </c>
    </row>
    <row r="188" spans="1:24" x14ac:dyDescent="0.3">
      <c r="A188">
        <v>195</v>
      </c>
      <c r="B188" t="s">
        <v>103</v>
      </c>
      <c r="C188" t="s">
        <v>833</v>
      </c>
      <c r="D188" t="s">
        <v>32</v>
      </c>
      <c r="E188" t="s">
        <v>834</v>
      </c>
      <c r="F188" t="s">
        <v>185</v>
      </c>
      <c r="G188" t="s">
        <v>103</v>
      </c>
      <c r="H188" t="b">
        <v>0</v>
      </c>
      <c r="I188" t="s">
        <v>1804</v>
      </c>
      <c r="J188" s="30">
        <f ca="1">YEARFRAC(W188,X188,1)</f>
        <v>66.16770186335404</v>
      </c>
      <c r="K188" t="s">
        <v>835</v>
      </c>
      <c r="L188" s="32">
        <v>9600</v>
      </c>
      <c r="M188" s="27">
        <v>21427700000000</v>
      </c>
      <c r="N188">
        <v>1960</v>
      </c>
      <c r="O188">
        <v>8</v>
      </c>
      <c r="P188">
        <v>1</v>
      </c>
      <c r="Q188">
        <v>117.24</v>
      </c>
      <c r="R188">
        <v>78.5</v>
      </c>
      <c r="S188">
        <v>9.6</v>
      </c>
      <c r="T188">
        <v>36.6</v>
      </c>
      <c r="U188">
        <v>328239523</v>
      </c>
      <c r="V188" s="30"/>
      <c r="W188" s="25">
        <f ca="1">TODAY()</f>
        <v>46297</v>
      </c>
      <c r="X188" s="25">
        <f>DATE(N188,O188,P188)</f>
        <v>22129</v>
      </c>
    </row>
    <row r="189" spans="1:24" x14ac:dyDescent="0.3">
      <c r="A189">
        <v>195</v>
      </c>
      <c r="B189" t="s">
        <v>103</v>
      </c>
      <c r="C189" t="s">
        <v>836</v>
      </c>
      <c r="D189" t="s">
        <v>32</v>
      </c>
      <c r="E189" t="s">
        <v>61</v>
      </c>
      <c r="F189" t="s">
        <v>185</v>
      </c>
      <c r="G189" t="s">
        <v>103</v>
      </c>
      <c r="H189" t="b">
        <v>0</v>
      </c>
      <c r="I189" t="s">
        <v>1804</v>
      </c>
      <c r="J189" s="30">
        <f ca="1">YEARFRAC(W189,X189,1)</f>
        <v>67.682409308692669</v>
      </c>
      <c r="K189" t="s">
        <v>837</v>
      </c>
      <c r="L189" s="32">
        <v>9600</v>
      </c>
      <c r="M189" s="27">
        <v>21427700000000</v>
      </c>
      <c r="N189">
        <v>1959</v>
      </c>
      <c r="O189">
        <v>1</v>
      </c>
      <c r="P189">
        <v>26</v>
      </c>
      <c r="Q189">
        <v>117.24</v>
      </c>
      <c r="R189">
        <v>78.5</v>
      </c>
      <c r="S189">
        <v>9.6</v>
      </c>
      <c r="T189">
        <v>36.6</v>
      </c>
      <c r="U189">
        <v>328239523</v>
      </c>
      <c r="V189" s="30"/>
      <c r="W189" s="25">
        <f ca="1">TODAY()</f>
        <v>46297</v>
      </c>
      <c r="X189" s="25">
        <f>DATE(N189,O189,P189)</f>
        <v>21576</v>
      </c>
    </row>
    <row r="190" spans="1:24" x14ac:dyDescent="0.3">
      <c r="A190">
        <v>195</v>
      </c>
      <c r="B190" t="s">
        <v>103</v>
      </c>
      <c r="C190" t="s">
        <v>838</v>
      </c>
      <c r="D190" t="s">
        <v>32</v>
      </c>
      <c r="E190" t="s">
        <v>839</v>
      </c>
      <c r="F190" t="s">
        <v>185</v>
      </c>
      <c r="G190" t="s">
        <v>103</v>
      </c>
      <c r="H190" t="b">
        <v>0</v>
      </c>
      <c r="I190" t="s">
        <v>1804</v>
      </c>
      <c r="J190" s="30">
        <f ca="1">YEARFRAC(W190,X190,1)</f>
        <v>69.79535726680291</v>
      </c>
      <c r="K190" t="s">
        <v>840</v>
      </c>
      <c r="L190" s="32">
        <v>9600</v>
      </c>
      <c r="M190" s="27">
        <v>21427700000000</v>
      </c>
      <c r="N190">
        <v>1956</v>
      </c>
      <c r="O190">
        <v>12</v>
      </c>
      <c r="P190">
        <v>15</v>
      </c>
      <c r="Q190">
        <v>117.24</v>
      </c>
      <c r="R190">
        <v>78.5</v>
      </c>
      <c r="S190">
        <v>9.6</v>
      </c>
      <c r="T190">
        <v>36.6</v>
      </c>
      <c r="U190">
        <v>328239523</v>
      </c>
      <c r="V190" s="30"/>
      <c r="W190" s="25">
        <f ca="1">TODAY()</f>
        <v>46297</v>
      </c>
      <c r="X190" s="25">
        <f>DATE(N190,O190,P190)</f>
        <v>20804</v>
      </c>
    </row>
    <row r="191" spans="1:24" x14ac:dyDescent="0.3">
      <c r="A191">
        <v>202</v>
      </c>
      <c r="B191" t="s">
        <v>49</v>
      </c>
      <c r="C191" t="s">
        <v>841</v>
      </c>
      <c r="D191" t="s">
        <v>23</v>
      </c>
      <c r="E191" t="s">
        <v>24</v>
      </c>
      <c r="F191" t="s">
        <v>264</v>
      </c>
      <c r="G191" t="s">
        <v>49</v>
      </c>
      <c r="H191" t="b">
        <v>0</v>
      </c>
      <c r="I191" t="s">
        <v>1803</v>
      </c>
      <c r="J191" s="30">
        <f ca="1">YEARFRAC(W191,X191,1)</f>
        <v>74.501715704168802</v>
      </c>
      <c r="K191" t="s">
        <v>843</v>
      </c>
      <c r="L191" s="32">
        <v>9500</v>
      </c>
      <c r="M191" s="27">
        <v>2715518274227</v>
      </c>
      <c r="N191">
        <v>1952</v>
      </c>
      <c r="O191">
        <v>4</v>
      </c>
      <c r="P191">
        <v>1</v>
      </c>
      <c r="Q191">
        <v>110.05</v>
      </c>
      <c r="R191">
        <v>82.5</v>
      </c>
      <c r="S191">
        <v>24.2</v>
      </c>
      <c r="T191">
        <v>60.7</v>
      </c>
      <c r="U191">
        <v>67059887</v>
      </c>
      <c r="V191" s="30"/>
      <c r="W191" s="25">
        <f ca="1">TODAY()</f>
        <v>46297</v>
      </c>
      <c r="X191" s="25">
        <f>DATE(N191,O191,P191)</f>
        <v>19085</v>
      </c>
    </row>
    <row r="192" spans="1:24" x14ac:dyDescent="0.3">
      <c r="A192">
        <v>202</v>
      </c>
      <c r="B192" t="s">
        <v>72</v>
      </c>
      <c r="C192" t="s">
        <v>844</v>
      </c>
      <c r="D192" t="s">
        <v>133</v>
      </c>
      <c r="E192" t="s">
        <v>845</v>
      </c>
      <c r="F192" t="s">
        <v>72</v>
      </c>
      <c r="G192" t="s">
        <v>72</v>
      </c>
      <c r="H192" t="b">
        <v>1</v>
      </c>
      <c r="I192" t="s">
        <v>1803</v>
      </c>
      <c r="J192" s="30">
        <f ca="1">YEARFRAC(W192,X192,1)</f>
        <v>98.000691371681427</v>
      </c>
      <c r="K192" t="s">
        <v>126</v>
      </c>
      <c r="L192" s="32">
        <v>9500</v>
      </c>
      <c r="M192" s="27">
        <v>1736425629520</v>
      </c>
      <c r="N192">
        <v>1928</v>
      </c>
      <c r="O192">
        <v>10</v>
      </c>
      <c r="P192">
        <v>1</v>
      </c>
      <c r="Q192">
        <v>116.76</v>
      </c>
      <c r="R192">
        <v>81.900000000000006</v>
      </c>
      <c r="S192">
        <v>12.8</v>
      </c>
      <c r="T192">
        <v>24.5</v>
      </c>
      <c r="U192">
        <v>36991981</v>
      </c>
      <c r="V192" s="30"/>
      <c r="W192" s="25">
        <f ca="1">TODAY()</f>
        <v>46297</v>
      </c>
      <c r="X192" s="25">
        <f>DATE(N192,O192,P192)</f>
        <v>10502</v>
      </c>
    </row>
    <row r="193" spans="1:24" x14ac:dyDescent="0.3">
      <c r="A193">
        <v>204</v>
      </c>
      <c r="B193" t="s">
        <v>351</v>
      </c>
      <c r="C193" t="s">
        <v>847</v>
      </c>
      <c r="D193" t="s">
        <v>170</v>
      </c>
      <c r="E193" t="s">
        <v>848</v>
      </c>
      <c r="F193" t="s">
        <v>849</v>
      </c>
      <c r="G193" t="s">
        <v>351</v>
      </c>
      <c r="H193" t="b">
        <v>0</v>
      </c>
      <c r="I193" t="s">
        <v>1803</v>
      </c>
      <c r="J193" s="30">
        <f ca="1">YEARFRAC(W193,X193,1)</f>
        <v>61.028041510267165</v>
      </c>
      <c r="K193" t="s">
        <v>851</v>
      </c>
      <c r="L193" s="32">
        <v>9400</v>
      </c>
      <c r="M193" s="27">
        <v>703082435360</v>
      </c>
      <c r="N193">
        <v>1965</v>
      </c>
      <c r="O193">
        <v>9</v>
      </c>
      <c r="P193">
        <v>22</v>
      </c>
      <c r="Q193">
        <v>99.55</v>
      </c>
      <c r="R193">
        <v>83.6</v>
      </c>
      <c r="S193">
        <v>10.1</v>
      </c>
      <c r="T193">
        <v>28.8</v>
      </c>
      <c r="U193">
        <v>8574832</v>
      </c>
      <c r="V193" s="30"/>
      <c r="W193" s="25">
        <f ca="1">TODAY()</f>
        <v>46297</v>
      </c>
      <c r="X193" s="25">
        <f>DATE(N193,O193,P193)</f>
        <v>24007</v>
      </c>
    </row>
    <row r="194" spans="1:24" x14ac:dyDescent="0.3">
      <c r="A194">
        <v>204</v>
      </c>
      <c r="B194" t="s">
        <v>38</v>
      </c>
      <c r="C194" t="s">
        <v>852</v>
      </c>
      <c r="D194" t="s">
        <v>105</v>
      </c>
      <c r="E194" t="s">
        <v>153</v>
      </c>
      <c r="F194" t="s">
        <v>853</v>
      </c>
      <c r="G194" t="s">
        <v>38</v>
      </c>
      <c r="H194" t="b">
        <v>1</v>
      </c>
      <c r="I194" t="s">
        <v>1803</v>
      </c>
      <c r="J194" s="30">
        <f ca="1">YEARFRAC(W194,X194,1)</f>
        <v>47.619438740588635</v>
      </c>
      <c r="K194" t="s">
        <v>854</v>
      </c>
      <c r="L194" s="32">
        <v>9400</v>
      </c>
      <c r="M194" s="27">
        <v>19910000000000</v>
      </c>
      <c r="N194">
        <v>1979</v>
      </c>
      <c r="O194">
        <v>2</v>
      </c>
      <c r="P194">
        <v>18</v>
      </c>
      <c r="Q194">
        <v>125.08</v>
      </c>
      <c r="R194">
        <v>77</v>
      </c>
      <c r="S194">
        <v>9.4</v>
      </c>
      <c r="T194">
        <v>59.2</v>
      </c>
      <c r="U194">
        <v>1397715000</v>
      </c>
      <c r="V194" s="30"/>
      <c r="W194" s="25">
        <f ca="1">TODAY()</f>
        <v>46297</v>
      </c>
      <c r="X194" s="25">
        <f>DATE(N194,O194,P194)</f>
        <v>28904</v>
      </c>
    </row>
    <row r="195" spans="1:24" x14ac:dyDescent="0.3">
      <c r="A195">
        <v>206</v>
      </c>
      <c r="B195" t="s">
        <v>38</v>
      </c>
      <c r="C195" t="s">
        <v>855</v>
      </c>
      <c r="D195" t="s">
        <v>32</v>
      </c>
      <c r="E195" t="s">
        <v>856</v>
      </c>
      <c r="F195" t="s">
        <v>857</v>
      </c>
      <c r="G195" t="s">
        <v>38</v>
      </c>
      <c r="H195" t="b">
        <v>1</v>
      </c>
      <c r="I195" t="s">
        <v>1803</v>
      </c>
      <c r="J195" s="30">
        <f ca="1">YEARFRAC(W195,X195,1)</f>
        <v>45.093744419974996</v>
      </c>
      <c r="K195" t="s">
        <v>859</v>
      </c>
      <c r="L195" s="32">
        <v>9300</v>
      </c>
      <c r="M195" s="27">
        <v>21427700000000</v>
      </c>
      <c r="N195">
        <v>1981</v>
      </c>
      <c r="O195">
        <v>8</v>
      </c>
      <c r="P195">
        <v>29</v>
      </c>
      <c r="Q195">
        <v>117.24</v>
      </c>
      <c r="R195">
        <v>78.5</v>
      </c>
      <c r="S195">
        <v>9.6</v>
      </c>
      <c r="T195">
        <v>36.6</v>
      </c>
      <c r="U195">
        <v>328239523</v>
      </c>
      <c r="V195" s="30"/>
      <c r="W195" s="25">
        <f ca="1">TODAY()</f>
        <v>46297</v>
      </c>
      <c r="X195" s="25">
        <f>DATE(N195,O195,P195)</f>
        <v>29827</v>
      </c>
    </row>
    <row r="196" spans="1:24" x14ac:dyDescent="0.3">
      <c r="A196">
        <v>206</v>
      </c>
      <c r="B196" t="s">
        <v>250</v>
      </c>
      <c r="C196" t="s">
        <v>860</v>
      </c>
      <c r="D196" t="s">
        <v>226</v>
      </c>
      <c r="E196" t="s">
        <v>861</v>
      </c>
      <c r="F196" t="s">
        <v>862</v>
      </c>
      <c r="G196" t="s">
        <v>250</v>
      </c>
      <c r="H196" t="b">
        <v>1</v>
      </c>
      <c r="I196" t="s">
        <v>1803</v>
      </c>
      <c r="J196" s="30">
        <f ca="1">YEARFRAC(W196,X196,1)</f>
        <v>79.419575633127991</v>
      </c>
      <c r="K196" t="s">
        <v>350</v>
      </c>
      <c r="L196" s="32">
        <v>9300</v>
      </c>
      <c r="M196" s="27">
        <v>2827113184696</v>
      </c>
      <c r="N196">
        <v>1947</v>
      </c>
      <c r="O196">
        <v>5</v>
      </c>
      <c r="P196">
        <v>2</v>
      </c>
      <c r="Q196">
        <v>119.62</v>
      </c>
      <c r="R196">
        <v>81.3</v>
      </c>
      <c r="S196">
        <v>25.5</v>
      </c>
      <c r="T196">
        <v>30.6</v>
      </c>
      <c r="U196">
        <v>66834405</v>
      </c>
      <c r="V196" s="30"/>
      <c r="W196" s="25">
        <f ca="1">TODAY()</f>
        <v>46297</v>
      </c>
      <c r="X196" s="25">
        <f>DATE(N196,O196,P196)</f>
        <v>17289</v>
      </c>
    </row>
    <row r="197" spans="1:24" x14ac:dyDescent="0.3">
      <c r="A197">
        <v>208</v>
      </c>
      <c r="B197" t="s">
        <v>72</v>
      </c>
      <c r="C197" t="s">
        <v>864</v>
      </c>
      <c r="D197" t="s">
        <v>327</v>
      </c>
      <c r="E197" t="s">
        <v>328</v>
      </c>
      <c r="F197" t="s">
        <v>399</v>
      </c>
      <c r="G197" t="s">
        <v>72</v>
      </c>
      <c r="H197" t="b">
        <v>1</v>
      </c>
      <c r="I197" t="s">
        <v>1803</v>
      </c>
      <c r="J197" s="30">
        <f ca="1">YEARFRAC(W197,X197,1)</f>
        <v>59.94043985637343</v>
      </c>
      <c r="K197" t="s">
        <v>866</v>
      </c>
      <c r="L197" s="32">
        <v>9200</v>
      </c>
      <c r="M197" s="27">
        <v>1699876578871</v>
      </c>
      <c r="N197">
        <v>1966</v>
      </c>
      <c r="O197">
        <v>10</v>
      </c>
      <c r="P197">
        <v>24</v>
      </c>
      <c r="Q197">
        <v>180.75</v>
      </c>
      <c r="R197">
        <v>72.7</v>
      </c>
      <c r="S197">
        <v>11.4</v>
      </c>
      <c r="T197">
        <v>46.2</v>
      </c>
      <c r="U197">
        <v>144373535</v>
      </c>
      <c r="V197" s="30"/>
      <c r="W197" s="25">
        <f ca="1">TODAY()</f>
        <v>46297</v>
      </c>
      <c r="X197" s="25">
        <f>DATE(N197,O197,P197)</f>
        <v>24404</v>
      </c>
    </row>
    <row r="198" spans="1:24" x14ac:dyDescent="0.3">
      <c r="A198">
        <v>208</v>
      </c>
      <c r="B198" t="s">
        <v>72</v>
      </c>
      <c r="C198" t="s">
        <v>867</v>
      </c>
      <c r="D198" t="s">
        <v>497</v>
      </c>
      <c r="E198" t="s">
        <v>498</v>
      </c>
      <c r="F198" t="s">
        <v>72</v>
      </c>
      <c r="G198" t="s">
        <v>72</v>
      </c>
      <c r="H198" t="b">
        <v>0</v>
      </c>
      <c r="I198" t="s">
        <v>1804</v>
      </c>
      <c r="J198" s="30">
        <f ca="1">YEARFRAC(W198,X198,1)</f>
        <v>83.071868583162214</v>
      </c>
      <c r="K198" t="s">
        <v>869</v>
      </c>
      <c r="L198" s="32">
        <v>9200</v>
      </c>
      <c r="M198" s="27">
        <v>530832908738</v>
      </c>
      <c r="N198">
        <v>1943</v>
      </c>
      <c r="O198">
        <v>9</v>
      </c>
      <c r="P198">
        <v>6</v>
      </c>
      <c r="Q198">
        <v>110.51</v>
      </c>
      <c r="R198">
        <v>82.5</v>
      </c>
      <c r="S198">
        <v>27.9</v>
      </c>
      <c r="T198">
        <v>49.1</v>
      </c>
      <c r="U198">
        <v>10285453</v>
      </c>
      <c r="V198" s="30"/>
      <c r="W198" s="25">
        <f ca="1">TODAY()</f>
        <v>46297</v>
      </c>
      <c r="X198" s="25">
        <f>DATE(N198,O198,P198)</f>
        <v>15955</v>
      </c>
    </row>
    <row r="199" spans="1:24" x14ac:dyDescent="0.3">
      <c r="A199">
        <v>208</v>
      </c>
      <c r="B199" t="s">
        <v>292</v>
      </c>
      <c r="C199" t="s">
        <v>870</v>
      </c>
      <c r="D199" t="s">
        <v>487</v>
      </c>
      <c r="E199" t="s">
        <v>488</v>
      </c>
      <c r="F199" t="s">
        <v>871</v>
      </c>
      <c r="G199" t="s">
        <v>292</v>
      </c>
      <c r="H199" t="b">
        <v>1</v>
      </c>
      <c r="I199" t="s">
        <v>1803</v>
      </c>
      <c r="J199" s="30">
        <f ca="1">YEARFRAC(W199,X199,1)</f>
        <v>51.233401779603014</v>
      </c>
      <c r="K199" t="s">
        <v>447</v>
      </c>
      <c r="L199" s="32">
        <v>9200</v>
      </c>
      <c r="M199" s="27">
        <v>246489245495</v>
      </c>
      <c r="N199">
        <v>1975</v>
      </c>
      <c r="O199">
        <v>7</v>
      </c>
      <c r="P199">
        <v>9</v>
      </c>
      <c r="Q199">
        <v>116.48</v>
      </c>
      <c r="R199">
        <v>79</v>
      </c>
      <c r="S199">
        <v>14.9</v>
      </c>
      <c r="T199">
        <v>46.1</v>
      </c>
      <c r="U199">
        <v>10669709</v>
      </c>
      <c r="V199" s="30"/>
      <c r="W199" s="25">
        <f ca="1">TODAY()</f>
        <v>46297</v>
      </c>
      <c r="X199" s="25">
        <f>DATE(N199,O199,P199)</f>
        <v>27584</v>
      </c>
    </row>
    <row r="200" spans="1:24" x14ac:dyDescent="0.3">
      <c r="A200">
        <v>208</v>
      </c>
      <c r="B200" t="s">
        <v>59</v>
      </c>
      <c r="C200" t="s">
        <v>873</v>
      </c>
      <c r="D200" t="s">
        <v>32</v>
      </c>
      <c r="E200" t="s">
        <v>874</v>
      </c>
      <c r="F200" t="s">
        <v>875</v>
      </c>
      <c r="G200" t="s">
        <v>59</v>
      </c>
      <c r="H200" t="b">
        <v>1</v>
      </c>
      <c r="I200" t="s">
        <v>1803</v>
      </c>
      <c r="J200" s="30">
        <f ca="1">YEARFRAC(W200,X200,1)</f>
        <v>85.572888478558468</v>
      </c>
      <c r="K200" t="s">
        <v>190</v>
      </c>
      <c r="L200" s="32">
        <v>9200</v>
      </c>
      <c r="M200" s="27">
        <v>21427700000000</v>
      </c>
      <c r="N200">
        <v>1941</v>
      </c>
      <c r="O200">
        <v>3</v>
      </c>
      <c r="P200">
        <v>7</v>
      </c>
      <c r="Q200">
        <v>117.24</v>
      </c>
      <c r="R200">
        <v>78.5</v>
      </c>
      <c r="S200">
        <v>9.6</v>
      </c>
      <c r="T200">
        <v>36.6</v>
      </c>
      <c r="U200">
        <v>328239523</v>
      </c>
      <c r="V200" s="30"/>
      <c r="W200" s="25">
        <f ca="1">TODAY()</f>
        <v>46297</v>
      </c>
      <c r="X200" s="25">
        <f>DATE(N200,O200,P200)</f>
        <v>15042</v>
      </c>
    </row>
    <row r="201" spans="1:24" x14ac:dyDescent="0.3">
      <c r="A201">
        <v>208</v>
      </c>
      <c r="B201" t="s">
        <v>38</v>
      </c>
      <c r="C201" t="s">
        <v>877</v>
      </c>
      <c r="D201" t="s">
        <v>74</v>
      </c>
      <c r="E201" t="s">
        <v>878</v>
      </c>
      <c r="F201" t="s">
        <v>879</v>
      </c>
      <c r="G201" t="s">
        <v>38</v>
      </c>
      <c r="H201" t="b">
        <v>0</v>
      </c>
      <c r="I201" t="s">
        <v>1803</v>
      </c>
      <c r="J201" s="30">
        <f ca="1">YEARFRAC(W201,X201,1)</f>
        <v>81.192320534223711</v>
      </c>
      <c r="K201" t="s">
        <v>881</v>
      </c>
      <c r="L201" s="32">
        <v>9200</v>
      </c>
      <c r="M201" s="27">
        <v>2611000000000</v>
      </c>
      <c r="N201">
        <v>1945</v>
      </c>
      <c r="O201">
        <v>7</v>
      </c>
      <c r="P201">
        <v>24</v>
      </c>
      <c r="Q201">
        <v>180.44</v>
      </c>
      <c r="R201">
        <v>69.400000000000006</v>
      </c>
      <c r="S201">
        <v>11.2</v>
      </c>
      <c r="T201">
        <v>49.7</v>
      </c>
      <c r="U201">
        <v>1366417754</v>
      </c>
      <c r="V201" s="30"/>
      <c r="W201" s="25">
        <f ca="1">TODAY()</f>
        <v>46297</v>
      </c>
      <c r="X201" s="25">
        <f>DATE(N201,O201,P201)</f>
        <v>16642</v>
      </c>
    </row>
    <row r="202" spans="1:24" x14ac:dyDescent="0.3">
      <c r="A202">
        <v>208</v>
      </c>
      <c r="B202" t="s">
        <v>49</v>
      </c>
      <c r="C202" t="s">
        <v>882</v>
      </c>
      <c r="D202" t="s">
        <v>32</v>
      </c>
      <c r="E202" t="s">
        <v>883</v>
      </c>
      <c r="F202" t="s">
        <v>302</v>
      </c>
      <c r="G202" t="s">
        <v>49</v>
      </c>
      <c r="H202" t="b">
        <v>1</v>
      </c>
      <c r="I202" t="s">
        <v>1803</v>
      </c>
      <c r="J202" s="30">
        <f ca="1">YEARFRAC(W202,X202,1)</f>
        <v>89.178632270625457</v>
      </c>
      <c r="K202" t="s">
        <v>119</v>
      </c>
      <c r="L202" s="32">
        <v>9200</v>
      </c>
      <c r="M202" s="27">
        <v>21427700000000</v>
      </c>
      <c r="N202">
        <v>1937</v>
      </c>
      <c r="O202">
        <v>7</v>
      </c>
      <c r="P202">
        <v>29</v>
      </c>
      <c r="Q202">
        <v>117.24</v>
      </c>
      <c r="R202">
        <v>78.5</v>
      </c>
      <c r="S202">
        <v>9.6</v>
      </c>
      <c r="T202">
        <v>36.6</v>
      </c>
      <c r="U202">
        <v>328239523</v>
      </c>
      <c r="V202" s="30"/>
      <c r="W202" s="25">
        <f ca="1">TODAY()</f>
        <v>46297</v>
      </c>
      <c r="X202" s="25">
        <f>DATE(N202,O202,P202)</f>
        <v>13725</v>
      </c>
    </row>
    <row r="203" spans="1:24" x14ac:dyDescent="0.3">
      <c r="A203">
        <v>208</v>
      </c>
      <c r="B203" t="s">
        <v>21</v>
      </c>
      <c r="C203" t="s">
        <v>885</v>
      </c>
      <c r="D203" t="s">
        <v>32</v>
      </c>
      <c r="E203" t="s">
        <v>886</v>
      </c>
      <c r="F203" t="s">
        <v>887</v>
      </c>
      <c r="G203" t="s">
        <v>21</v>
      </c>
      <c r="H203" t="b">
        <v>1</v>
      </c>
      <c r="I203" t="s">
        <v>1803</v>
      </c>
      <c r="J203" s="30">
        <f ca="1">YEARFRAC(W203,X203,1)</f>
        <v>66.750858123569799</v>
      </c>
      <c r="K203" t="s">
        <v>420</v>
      </c>
      <c r="L203" s="32">
        <v>9200</v>
      </c>
      <c r="M203" s="27">
        <v>21427700000000</v>
      </c>
      <c r="N203">
        <v>1960</v>
      </c>
      <c r="O203">
        <v>1</v>
      </c>
      <c r="P203">
        <v>1</v>
      </c>
      <c r="Q203">
        <v>117.24</v>
      </c>
      <c r="R203">
        <v>78.5</v>
      </c>
      <c r="S203">
        <v>9.6</v>
      </c>
      <c r="T203">
        <v>36.6</v>
      </c>
      <c r="U203">
        <v>328239523</v>
      </c>
      <c r="V203" s="30"/>
      <c r="W203" s="25">
        <f ca="1">TODAY()</f>
        <v>46297</v>
      </c>
      <c r="X203" s="25">
        <f>DATE(N203,O203,P203)</f>
        <v>21916</v>
      </c>
    </row>
    <row r="204" spans="1:24" x14ac:dyDescent="0.3">
      <c r="A204">
        <v>215</v>
      </c>
      <c r="B204" t="s">
        <v>38</v>
      </c>
      <c r="C204" t="s">
        <v>889</v>
      </c>
      <c r="D204" t="s">
        <v>32</v>
      </c>
      <c r="E204" t="s">
        <v>89</v>
      </c>
      <c r="F204" t="s">
        <v>90</v>
      </c>
      <c r="G204" t="s">
        <v>38</v>
      </c>
      <c r="H204" t="b">
        <v>1</v>
      </c>
      <c r="I204" t="s">
        <v>1803</v>
      </c>
      <c r="J204" s="30">
        <f ca="1">YEARFRAC(W204,X204,1)</f>
        <v>75.512662559890487</v>
      </c>
      <c r="K204" t="s">
        <v>137</v>
      </c>
      <c r="L204" s="32">
        <v>9000</v>
      </c>
      <c r="M204" s="27">
        <v>21427700000000</v>
      </c>
      <c r="N204">
        <v>1951</v>
      </c>
      <c r="O204">
        <v>3</v>
      </c>
      <c r="P204">
        <v>29</v>
      </c>
      <c r="Q204">
        <v>117.24</v>
      </c>
      <c r="R204">
        <v>78.5</v>
      </c>
      <c r="S204">
        <v>9.6</v>
      </c>
      <c r="T204">
        <v>36.6</v>
      </c>
      <c r="U204">
        <v>328239523</v>
      </c>
      <c r="V204" s="30"/>
      <c r="W204" s="25">
        <f ca="1">TODAY()</f>
        <v>46297</v>
      </c>
      <c r="X204" s="25">
        <f>DATE(N204,O204,P204)</f>
        <v>18716</v>
      </c>
    </row>
    <row r="205" spans="1:24" x14ac:dyDescent="0.3">
      <c r="A205">
        <v>215</v>
      </c>
      <c r="B205" t="s">
        <v>272</v>
      </c>
      <c r="C205" t="s">
        <v>891</v>
      </c>
      <c r="D205" t="s">
        <v>170</v>
      </c>
      <c r="E205" t="s">
        <v>892</v>
      </c>
      <c r="F205" t="s">
        <v>276</v>
      </c>
      <c r="G205" t="s">
        <v>272</v>
      </c>
      <c r="H205" t="b">
        <v>1</v>
      </c>
      <c r="I205" t="s">
        <v>1803</v>
      </c>
      <c r="J205" s="30">
        <f ca="1">YEARFRAC(W205,X205,1)</f>
        <v>69.734423280009395</v>
      </c>
      <c r="K205" t="s">
        <v>894</v>
      </c>
      <c r="L205" s="32">
        <v>9000</v>
      </c>
      <c r="M205" s="27">
        <v>703082435360</v>
      </c>
      <c r="N205">
        <v>1957</v>
      </c>
      <c r="O205">
        <v>1</v>
      </c>
      <c r="P205">
        <v>7</v>
      </c>
      <c r="Q205">
        <v>99.55</v>
      </c>
      <c r="R205">
        <v>83.6</v>
      </c>
      <c r="S205">
        <v>10.1</v>
      </c>
      <c r="T205">
        <v>28.8</v>
      </c>
      <c r="U205">
        <v>8574832</v>
      </c>
      <c r="V205" s="30"/>
      <c r="W205" s="25">
        <f ca="1">TODAY()</f>
        <v>46297</v>
      </c>
      <c r="X205" s="25">
        <f>DATE(N205,O205,P205)</f>
        <v>20827</v>
      </c>
    </row>
    <row r="206" spans="1:24" x14ac:dyDescent="0.3">
      <c r="A206">
        <v>215</v>
      </c>
      <c r="B206" t="s">
        <v>462</v>
      </c>
      <c r="C206" t="s">
        <v>895</v>
      </c>
      <c r="D206" t="s">
        <v>158</v>
      </c>
      <c r="E206" t="s">
        <v>896</v>
      </c>
      <c r="F206" t="s">
        <v>465</v>
      </c>
      <c r="G206" t="s">
        <v>462</v>
      </c>
      <c r="H206" t="b">
        <v>0</v>
      </c>
      <c r="I206" t="s">
        <v>1803</v>
      </c>
      <c r="J206" s="30">
        <f ca="1">YEARFRAC(W206,X206,1)</f>
        <v>59.238877481177276</v>
      </c>
      <c r="K206" t="s">
        <v>898</v>
      </c>
      <c r="L206" s="32">
        <v>9000</v>
      </c>
      <c r="M206" s="27">
        <v>3845630030824</v>
      </c>
      <c r="N206">
        <v>1967</v>
      </c>
      <c r="O206">
        <v>7</v>
      </c>
      <c r="P206">
        <v>7</v>
      </c>
      <c r="Q206">
        <v>112.85</v>
      </c>
      <c r="R206">
        <v>80.900000000000006</v>
      </c>
      <c r="S206">
        <v>11.5</v>
      </c>
      <c r="T206">
        <v>48.8</v>
      </c>
      <c r="U206">
        <v>83132799</v>
      </c>
      <c r="V206" s="30"/>
      <c r="W206" s="25">
        <f ca="1">TODAY()</f>
        <v>46297</v>
      </c>
      <c r="X206" s="25">
        <f>DATE(N206,O206,P206)</f>
        <v>24660</v>
      </c>
    </row>
    <row r="207" spans="1:24" x14ac:dyDescent="0.3">
      <c r="A207">
        <v>215</v>
      </c>
      <c r="B207" t="s">
        <v>103</v>
      </c>
      <c r="C207" t="s">
        <v>899</v>
      </c>
      <c r="D207" t="s">
        <v>133</v>
      </c>
      <c r="E207" t="s">
        <v>845</v>
      </c>
      <c r="F207" t="s">
        <v>900</v>
      </c>
      <c r="G207" t="s">
        <v>103</v>
      </c>
      <c r="H207" t="b">
        <v>1</v>
      </c>
      <c r="I207" t="s">
        <v>1803</v>
      </c>
      <c r="J207" s="30">
        <f ca="1">YEARFRAC(W207,X207,1)</f>
        <v>76.564677855212622</v>
      </c>
      <c r="K207" t="s">
        <v>675</v>
      </c>
      <c r="L207" s="32">
        <v>9000</v>
      </c>
      <c r="M207" s="27">
        <v>1736425629520</v>
      </c>
      <c r="N207">
        <v>1950</v>
      </c>
      <c r="O207">
        <v>3</v>
      </c>
      <c r="P207">
        <v>10</v>
      </c>
      <c r="Q207">
        <v>116.76</v>
      </c>
      <c r="R207">
        <v>81.900000000000006</v>
      </c>
      <c r="S207">
        <v>12.8</v>
      </c>
      <c r="T207">
        <v>24.5</v>
      </c>
      <c r="U207">
        <v>36991981</v>
      </c>
      <c r="V207" s="30"/>
      <c r="W207" s="25">
        <f ca="1">TODAY()</f>
        <v>46297</v>
      </c>
      <c r="X207" s="25">
        <f>DATE(N207,O207,P207)</f>
        <v>18332</v>
      </c>
    </row>
    <row r="208" spans="1:24" x14ac:dyDescent="0.3">
      <c r="A208">
        <v>215</v>
      </c>
      <c r="B208" t="s">
        <v>250</v>
      </c>
      <c r="C208" t="s">
        <v>902</v>
      </c>
      <c r="D208" t="s">
        <v>105</v>
      </c>
      <c r="E208" t="s">
        <v>903</v>
      </c>
      <c r="F208" t="s">
        <v>904</v>
      </c>
      <c r="G208" t="s">
        <v>250</v>
      </c>
      <c r="H208" t="b">
        <v>1</v>
      </c>
      <c r="I208" t="s">
        <v>1803</v>
      </c>
      <c r="J208" s="30">
        <f ca="1">YEARFRAC(W208,X208,1)</f>
        <v>60.60300718132855</v>
      </c>
      <c r="K208" t="s">
        <v>905</v>
      </c>
      <c r="L208" s="32">
        <v>9000</v>
      </c>
      <c r="M208" s="27">
        <v>19910000000000</v>
      </c>
      <c r="N208">
        <v>1966</v>
      </c>
      <c r="O208">
        <v>2</v>
      </c>
      <c r="P208">
        <v>24</v>
      </c>
      <c r="Q208">
        <v>125.08</v>
      </c>
      <c r="R208">
        <v>77</v>
      </c>
      <c r="S208">
        <v>9.4</v>
      </c>
      <c r="T208">
        <v>59.2</v>
      </c>
      <c r="U208">
        <v>1397715000</v>
      </c>
      <c r="V208" s="30"/>
      <c r="W208" s="25">
        <f ca="1">TODAY()</f>
        <v>46297</v>
      </c>
      <c r="X208" s="25">
        <f>DATE(N208,O208,P208)</f>
        <v>24162</v>
      </c>
    </row>
    <row r="209" spans="1:24" x14ac:dyDescent="0.3">
      <c r="A209">
        <v>220</v>
      </c>
      <c r="B209" t="s">
        <v>103</v>
      </c>
      <c r="C209" t="s">
        <v>906</v>
      </c>
      <c r="D209" t="s">
        <v>226</v>
      </c>
      <c r="E209" t="s">
        <v>227</v>
      </c>
      <c r="F209" t="s">
        <v>907</v>
      </c>
      <c r="G209" t="s">
        <v>103</v>
      </c>
      <c r="H209" t="b">
        <v>0</v>
      </c>
      <c r="I209" t="s">
        <v>1803</v>
      </c>
      <c r="J209" s="30">
        <f ca="1">YEARFRAC(W209,X209,1)</f>
        <v>71.750855578370974</v>
      </c>
      <c r="K209" t="s">
        <v>909</v>
      </c>
      <c r="L209" s="32">
        <v>8900</v>
      </c>
      <c r="M209" s="27">
        <v>2827113184696</v>
      </c>
      <c r="N209">
        <v>1955</v>
      </c>
      <c r="O209">
        <v>1</v>
      </c>
      <c r="P209">
        <v>1</v>
      </c>
      <c r="Q209">
        <v>119.62</v>
      </c>
      <c r="R209">
        <v>81.3</v>
      </c>
      <c r="S209">
        <v>25.5</v>
      </c>
      <c r="T209">
        <v>30.6</v>
      </c>
      <c r="U209">
        <v>66834405</v>
      </c>
      <c r="V209" s="30"/>
      <c r="W209" s="25">
        <f ca="1">TODAY()</f>
        <v>46297</v>
      </c>
      <c r="X209" s="25">
        <f>DATE(N209,O209,P209)</f>
        <v>20090</v>
      </c>
    </row>
    <row r="210" spans="1:24" x14ac:dyDescent="0.3">
      <c r="A210">
        <v>220</v>
      </c>
      <c r="B210" t="s">
        <v>103</v>
      </c>
      <c r="C210" t="s">
        <v>910</v>
      </c>
      <c r="D210" t="s">
        <v>226</v>
      </c>
      <c r="E210" t="s">
        <v>911</v>
      </c>
      <c r="F210" t="s">
        <v>907</v>
      </c>
      <c r="G210" t="s">
        <v>103</v>
      </c>
      <c r="H210" t="b">
        <v>0</v>
      </c>
      <c r="I210" t="s">
        <v>1803</v>
      </c>
      <c r="J210" s="30">
        <f ca="1">YEARFRAC(W210,X210,1)</f>
        <v>66.750858123569799</v>
      </c>
      <c r="K210" t="s">
        <v>912</v>
      </c>
      <c r="L210" s="32">
        <v>8900</v>
      </c>
      <c r="M210" s="27">
        <v>2827113184696</v>
      </c>
      <c r="N210">
        <v>1960</v>
      </c>
      <c r="O210">
        <v>1</v>
      </c>
      <c r="P210">
        <v>1</v>
      </c>
      <c r="Q210">
        <v>119.62</v>
      </c>
      <c r="R210">
        <v>81.3</v>
      </c>
      <c r="S210">
        <v>25.5</v>
      </c>
      <c r="T210">
        <v>30.6</v>
      </c>
      <c r="U210">
        <v>66834405</v>
      </c>
      <c r="V210" s="30"/>
      <c r="W210" s="25">
        <f ca="1">TODAY()</f>
        <v>46297</v>
      </c>
      <c r="X210" s="25">
        <f>DATE(N210,O210,P210)</f>
        <v>21916</v>
      </c>
    </row>
    <row r="211" spans="1:24" x14ac:dyDescent="0.3">
      <c r="A211">
        <v>220</v>
      </c>
      <c r="B211" t="s">
        <v>103</v>
      </c>
      <c r="C211" t="s">
        <v>913</v>
      </c>
      <c r="D211" t="s">
        <v>226</v>
      </c>
      <c r="E211" t="s">
        <v>914</v>
      </c>
      <c r="F211" t="s">
        <v>907</v>
      </c>
      <c r="G211" t="s">
        <v>103</v>
      </c>
      <c r="H211" t="b">
        <v>0</v>
      </c>
      <c r="I211" t="s">
        <v>1804</v>
      </c>
      <c r="J211" s="30">
        <f ca="1">YEARFRAC(W211,X211,1)</f>
        <v>74.321019201284955</v>
      </c>
      <c r="K211" t="s">
        <v>915</v>
      </c>
      <c r="L211" s="32">
        <v>8900</v>
      </c>
      <c r="M211" s="27">
        <v>2827113184696</v>
      </c>
      <c r="N211">
        <v>1952</v>
      </c>
      <c r="O211">
        <v>6</v>
      </c>
      <c r="P211">
        <v>6</v>
      </c>
      <c r="Q211">
        <v>119.62</v>
      </c>
      <c r="R211">
        <v>81.3</v>
      </c>
      <c r="S211">
        <v>25.5</v>
      </c>
      <c r="T211">
        <v>30.6</v>
      </c>
      <c r="U211">
        <v>66834405</v>
      </c>
      <c r="V211" s="30"/>
      <c r="W211" s="25">
        <f ca="1">TODAY()</f>
        <v>46297</v>
      </c>
      <c r="X211" s="25">
        <f>DATE(N211,O211,P211)</f>
        <v>19151</v>
      </c>
    </row>
    <row r="212" spans="1:24" x14ac:dyDescent="0.3">
      <c r="A212">
        <v>223</v>
      </c>
      <c r="B212" t="s">
        <v>21</v>
      </c>
      <c r="C212" t="s">
        <v>916</v>
      </c>
      <c r="D212" t="s">
        <v>327</v>
      </c>
      <c r="E212" t="s">
        <v>917</v>
      </c>
      <c r="F212" t="s">
        <v>918</v>
      </c>
      <c r="G212" t="s">
        <v>21</v>
      </c>
      <c r="H212" t="b">
        <v>1</v>
      </c>
      <c r="I212" t="s">
        <v>1804</v>
      </c>
      <c r="J212" s="30">
        <f ca="1">YEARFRAC(W212,X212,1)</f>
        <v>50.962354551676931</v>
      </c>
      <c r="K212" t="s">
        <v>920</v>
      </c>
      <c r="L212" s="32">
        <v>8800</v>
      </c>
      <c r="M212" s="27">
        <v>1699876578871</v>
      </c>
      <c r="N212">
        <v>1975</v>
      </c>
      <c r="O212">
        <v>10</v>
      </c>
      <c r="P212">
        <v>16</v>
      </c>
      <c r="Q212">
        <v>180.75</v>
      </c>
      <c r="R212">
        <v>72.7</v>
      </c>
      <c r="S212">
        <v>11.4</v>
      </c>
      <c r="T212">
        <v>46.2</v>
      </c>
      <c r="U212">
        <v>144373535</v>
      </c>
      <c r="V212" s="30"/>
      <c r="W212" s="25">
        <f ca="1">TODAY()</f>
        <v>46297</v>
      </c>
      <c r="X212" s="25">
        <f>DATE(N212,O212,P212)</f>
        <v>27683</v>
      </c>
    </row>
    <row r="213" spans="1:24" x14ac:dyDescent="0.3">
      <c r="A213">
        <v>223</v>
      </c>
      <c r="B213" t="s">
        <v>38</v>
      </c>
      <c r="C213" t="s">
        <v>921</v>
      </c>
      <c r="D213" t="s">
        <v>32</v>
      </c>
      <c r="E213" t="s">
        <v>883</v>
      </c>
      <c r="F213" t="s">
        <v>922</v>
      </c>
      <c r="G213" t="s">
        <v>38</v>
      </c>
      <c r="H213" t="b">
        <v>1</v>
      </c>
      <c r="I213" t="s">
        <v>1803</v>
      </c>
      <c r="J213" s="30">
        <f ca="1">YEARFRAC(W213,X213,1)</f>
        <v>75.260780287474333</v>
      </c>
      <c r="K213" t="s">
        <v>190</v>
      </c>
      <c r="L213" s="32">
        <v>8800</v>
      </c>
      <c r="M213" s="27">
        <v>21427700000000</v>
      </c>
      <c r="N213">
        <v>1951</v>
      </c>
      <c r="O213">
        <v>6</v>
      </c>
      <c r="P213">
        <v>29</v>
      </c>
      <c r="Q213">
        <v>117.24</v>
      </c>
      <c r="R213">
        <v>78.5</v>
      </c>
      <c r="S213">
        <v>9.6</v>
      </c>
      <c r="T213">
        <v>36.6</v>
      </c>
      <c r="U213">
        <v>328239523</v>
      </c>
      <c r="V213" s="30"/>
      <c r="W213" s="25">
        <f ca="1">TODAY()</f>
        <v>46297</v>
      </c>
      <c r="X213" s="25">
        <f>DATE(N213,O213,P213)</f>
        <v>18808</v>
      </c>
    </row>
    <row r="214" spans="1:24" x14ac:dyDescent="0.3">
      <c r="A214">
        <v>223</v>
      </c>
      <c r="B214" t="s">
        <v>38</v>
      </c>
      <c r="C214" t="s">
        <v>924</v>
      </c>
      <c r="D214" t="s">
        <v>105</v>
      </c>
      <c r="E214" t="s">
        <v>153</v>
      </c>
      <c r="F214" t="s">
        <v>247</v>
      </c>
      <c r="G214" t="s">
        <v>38</v>
      </c>
      <c r="H214" t="b">
        <v>1</v>
      </c>
      <c r="I214" t="s">
        <v>1803</v>
      </c>
      <c r="J214" s="30">
        <f ca="1">YEARFRAC(W214,X214,1)</f>
        <v>52.564676102903192</v>
      </c>
      <c r="K214" t="s">
        <v>925</v>
      </c>
      <c r="L214" s="32">
        <v>8800</v>
      </c>
      <c r="M214" s="27">
        <v>19910000000000</v>
      </c>
      <c r="N214">
        <v>1974</v>
      </c>
      <c r="O214">
        <v>3</v>
      </c>
      <c r="P214">
        <v>10</v>
      </c>
      <c r="Q214">
        <v>125.08</v>
      </c>
      <c r="R214">
        <v>77</v>
      </c>
      <c r="S214">
        <v>9.4</v>
      </c>
      <c r="T214">
        <v>59.2</v>
      </c>
      <c r="U214">
        <v>1397715000</v>
      </c>
      <c r="V214" s="30"/>
      <c r="W214" s="25">
        <f ca="1">TODAY()</f>
        <v>46297</v>
      </c>
      <c r="X214" s="25">
        <f>DATE(N214,O214,P214)</f>
        <v>27098</v>
      </c>
    </row>
    <row r="215" spans="1:24" x14ac:dyDescent="0.3">
      <c r="A215">
        <v>223</v>
      </c>
      <c r="B215" t="s">
        <v>38</v>
      </c>
      <c r="C215" t="s">
        <v>926</v>
      </c>
      <c r="D215" t="s">
        <v>32</v>
      </c>
      <c r="E215" t="s">
        <v>856</v>
      </c>
      <c r="F215" t="s">
        <v>112</v>
      </c>
      <c r="G215" t="s">
        <v>38</v>
      </c>
      <c r="H215" t="b">
        <v>1</v>
      </c>
      <c r="I215" t="s">
        <v>1803</v>
      </c>
      <c r="J215" s="30">
        <f ca="1">YEARFRAC(W215,X215,1)</f>
        <v>42.362090920667264</v>
      </c>
      <c r="K215" t="s">
        <v>928</v>
      </c>
      <c r="L215" s="32">
        <v>8800</v>
      </c>
      <c r="M215" s="27">
        <v>21427700000000</v>
      </c>
      <c r="N215">
        <v>1984</v>
      </c>
      <c r="O215">
        <v>5</v>
      </c>
      <c r="P215">
        <v>22</v>
      </c>
      <c r="Q215">
        <v>117.24</v>
      </c>
      <c r="R215">
        <v>78.5</v>
      </c>
      <c r="S215">
        <v>9.6</v>
      </c>
      <c r="T215">
        <v>36.6</v>
      </c>
      <c r="U215">
        <v>328239523</v>
      </c>
      <c r="V215" s="30"/>
      <c r="W215" s="25">
        <f ca="1">TODAY()</f>
        <v>46297</v>
      </c>
      <c r="X215" s="25">
        <f>DATE(N215,O215,P215)</f>
        <v>30824</v>
      </c>
    </row>
    <row r="216" spans="1:24" x14ac:dyDescent="0.3">
      <c r="A216">
        <v>223</v>
      </c>
      <c r="B216" t="s">
        <v>38</v>
      </c>
      <c r="C216" t="s">
        <v>929</v>
      </c>
      <c r="D216" t="s">
        <v>32</v>
      </c>
      <c r="E216" t="s">
        <v>930</v>
      </c>
      <c r="F216" t="s">
        <v>931</v>
      </c>
      <c r="G216" t="s">
        <v>38</v>
      </c>
      <c r="H216" t="b">
        <v>1</v>
      </c>
      <c r="I216" t="s">
        <v>1803</v>
      </c>
      <c r="J216" s="30">
        <f ca="1">YEARFRAC(W216,X216,1)</f>
        <v>59.282683093771389</v>
      </c>
      <c r="K216" t="s">
        <v>933</v>
      </c>
      <c r="L216" s="32">
        <v>8800</v>
      </c>
      <c r="M216" s="27">
        <v>21427700000000</v>
      </c>
      <c r="N216">
        <v>1967</v>
      </c>
      <c r="O216">
        <v>6</v>
      </c>
      <c r="P216">
        <v>21</v>
      </c>
      <c r="Q216">
        <v>117.24</v>
      </c>
      <c r="R216">
        <v>78.5</v>
      </c>
      <c r="S216">
        <v>9.6</v>
      </c>
      <c r="T216">
        <v>36.6</v>
      </c>
      <c r="U216">
        <v>328239523</v>
      </c>
      <c r="V216" s="30"/>
      <c r="W216" s="25">
        <f ca="1">TODAY()</f>
        <v>46297</v>
      </c>
      <c r="X216" s="25">
        <f>DATE(N216,O216,P216)</f>
        <v>24644</v>
      </c>
    </row>
    <row r="217" spans="1:24" x14ac:dyDescent="0.3">
      <c r="A217">
        <v>223</v>
      </c>
      <c r="B217" t="s">
        <v>292</v>
      </c>
      <c r="C217" t="s">
        <v>934</v>
      </c>
      <c r="D217" t="s">
        <v>105</v>
      </c>
      <c r="E217" t="s">
        <v>214</v>
      </c>
      <c r="F217" t="s">
        <v>215</v>
      </c>
      <c r="G217" t="s">
        <v>292</v>
      </c>
      <c r="H217" t="b">
        <v>1</v>
      </c>
      <c r="I217" t="s">
        <v>1803</v>
      </c>
      <c r="J217" s="30">
        <f ca="1">YEARFRAC(W217,X217,1)</f>
        <v>67.750855578370974</v>
      </c>
      <c r="K217" t="s">
        <v>936</v>
      </c>
      <c r="L217" s="32">
        <v>8800</v>
      </c>
      <c r="M217" s="27">
        <v>19910000000000</v>
      </c>
      <c r="N217">
        <v>1959</v>
      </c>
      <c r="O217">
        <v>1</v>
      </c>
      <c r="P217">
        <v>1</v>
      </c>
      <c r="Q217">
        <v>125.08</v>
      </c>
      <c r="R217">
        <v>77</v>
      </c>
      <c r="S217">
        <v>9.4</v>
      </c>
      <c r="T217">
        <v>59.2</v>
      </c>
      <c r="U217">
        <v>1397715000</v>
      </c>
      <c r="V217" s="30"/>
      <c r="W217" s="25">
        <f ca="1">TODAY()</f>
        <v>46297</v>
      </c>
      <c r="X217" s="25">
        <f>DATE(N217,O217,P217)</f>
        <v>21551</v>
      </c>
    </row>
    <row r="218" spans="1:24" x14ac:dyDescent="0.3">
      <c r="A218">
        <v>223</v>
      </c>
      <c r="B218" t="s">
        <v>292</v>
      </c>
      <c r="C218" t="s">
        <v>937</v>
      </c>
      <c r="D218" t="s">
        <v>226</v>
      </c>
      <c r="E218" t="s">
        <v>227</v>
      </c>
      <c r="F218" t="s">
        <v>403</v>
      </c>
      <c r="G218" t="s">
        <v>292</v>
      </c>
      <c r="H218" t="b">
        <v>0</v>
      </c>
      <c r="I218" t="s">
        <v>1804</v>
      </c>
      <c r="J218" s="30">
        <f ca="1">YEARFRAC(W218,X218,1)</f>
        <v>75.750855578370974</v>
      </c>
      <c r="K218" t="s">
        <v>939</v>
      </c>
      <c r="L218" s="32">
        <v>8800</v>
      </c>
      <c r="M218" s="27">
        <v>2827113184696</v>
      </c>
      <c r="N218">
        <v>1951</v>
      </c>
      <c r="O218">
        <v>1</v>
      </c>
      <c r="P218">
        <v>1</v>
      </c>
      <c r="Q218">
        <v>119.62</v>
      </c>
      <c r="R218">
        <v>81.3</v>
      </c>
      <c r="S218">
        <v>25.5</v>
      </c>
      <c r="T218">
        <v>30.6</v>
      </c>
      <c r="U218">
        <v>66834405</v>
      </c>
      <c r="V218" s="30"/>
      <c r="W218" s="25">
        <f ca="1">TODAY()</f>
        <v>46297</v>
      </c>
      <c r="X218" s="25">
        <f>DATE(N218,O218,P218)</f>
        <v>18629</v>
      </c>
    </row>
    <row r="219" spans="1:24" x14ac:dyDescent="0.3">
      <c r="A219">
        <v>230</v>
      </c>
      <c r="B219" t="s">
        <v>250</v>
      </c>
      <c r="C219" t="s">
        <v>940</v>
      </c>
      <c r="D219" t="s">
        <v>105</v>
      </c>
      <c r="E219" t="s">
        <v>941</v>
      </c>
      <c r="F219" t="s">
        <v>348</v>
      </c>
      <c r="G219" t="s">
        <v>250</v>
      </c>
      <c r="H219" t="b">
        <v>1</v>
      </c>
      <c r="I219" t="s">
        <v>1803</v>
      </c>
      <c r="J219" s="30">
        <f ca="1">YEARFRAC(W219,X219,1)</f>
        <v>55.750855578370981</v>
      </c>
      <c r="K219" t="s">
        <v>942</v>
      </c>
      <c r="L219" s="32">
        <v>8700</v>
      </c>
      <c r="M219" s="27">
        <v>19910000000000</v>
      </c>
      <c r="N219">
        <v>1971</v>
      </c>
      <c r="O219">
        <v>1</v>
      </c>
      <c r="P219">
        <v>1</v>
      </c>
      <c r="Q219">
        <v>125.08</v>
      </c>
      <c r="R219">
        <v>77</v>
      </c>
      <c r="S219">
        <v>9.4</v>
      </c>
      <c r="T219">
        <v>59.2</v>
      </c>
      <c r="U219">
        <v>1397715000</v>
      </c>
      <c r="V219" s="30"/>
      <c r="W219" s="25">
        <f ca="1">TODAY()</f>
        <v>46297</v>
      </c>
      <c r="X219" s="25">
        <f>DATE(N219,O219,P219)</f>
        <v>25934</v>
      </c>
    </row>
    <row r="220" spans="1:24" x14ac:dyDescent="0.3">
      <c r="A220">
        <v>230</v>
      </c>
      <c r="B220" t="s">
        <v>21</v>
      </c>
      <c r="C220" t="s">
        <v>943</v>
      </c>
      <c r="D220" t="s">
        <v>158</v>
      </c>
      <c r="E220" t="s">
        <v>896</v>
      </c>
      <c r="F220" t="s">
        <v>944</v>
      </c>
      <c r="G220" t="s">
        <v>21</v>
      </c>
      <c r="H220" t="b">
        <v>0</v>
      </c>
      <c r="I220" t="s">
        <v>1803</v>
      </c>
      <c r="J220" s="30">
        <f ca="1">YEARFRAC(W220,X220,1)</f>
        <v>83.474332648870643</v>
      </c>
      <c r="K220" t="s">
        <v>64</v>
      </c>
      <c r="L220" s="32">
        <v>8700</v>
      </c>
      <c r="M220" s="27">
        <v>3845630030824</v>
      </c>
      <c r="N220">
        <v>1943</v>
      </c>
      <c r="O220">
        <v>4</v>
      </c>
      <c r="P220">
        <v>12</v>
      </c>
      <c r="Q220">
        <v>112.85</v>
      </c>
      <c r="R220">
        <v>80.900000000000006</v>
      </c>
      <c r="S220">
        <v>11.5</v>
      </c>
      <c r="T220">
        <v>48.8</v>
      </c>
      <c r="U220">
        <v>83132799</v>
      </c>
      <c r="V220" s="30"/>
      <c r="W220" s="25">
        <f ca="1">TODAY()</f>
        <v>46297</v>
      </c>
      <c r="X220" s="25">
        <f>DATE(N220,O220,P220)</f>
        <v>15808</v>
      </c>
    </row>
    <row r="221" spans="1:24" x14ac:dyDescent="0.3">
      <c r="A221">
        <v>232</v>
      </c>
      <c r="B221" t="s">
        <v>49</v>
      </c>
      <c r="C221" t="s">
        <v>945</v>
      </c>
      <c r="D221" t="s">
        <v>32</v>
      </c>
      <c r="E221" t="s">
        <v>61</v>
      </c>
      <c r="F221" t="s">
        <v>802</v>
      </c>
      <c r="G221" t="s">
        <v>49</v>
      </c>
      <c r="H221" t="b">
        <v>1</v>
      </c>
      <c r="I221" t="s">
        <v>1803</v>
      </c>
      <c r="J221" s="30">
        <f ca="1">YEARFRAC(W221,X221,1)</f>
        <v>75.173169062286107</v>
      </c>
      <c r="K221" t="s">
        <v>947</v>
      </c>
      <c r="L221" s="32">
        <v>8600</v>
      </c>
      <c r="M221" s="27">
        <v>21427700000000</v>
      </c>
      <c r="N221">
        <v>1951</v>
      </c>
      <c r="O221">
        <v>7</v>
      </c>
      <c r="P221">
        <v>31</v>
      </c>
      <c r="Q221">
        <v>117.24</v>
      </c>
      <c r="R221">
        <v>78.5</v>
      </c>
      <c r="S221">
        <v>9.6</v>
      </c>
      <c r="T221">
        <v>36.6</v>
      </c>
      <c r="U221">
        <v>328239523</v>
      </c>
      <c r="V221" s="30"/>
      <c r="W221" s="25">
        <f ca="1">TODAY()</f>
        <v>46297</v>
      </c>
      <c r="X221" s="25">
        <f>DATE(N221,O221,P221)</f>
        <v>18840</v>
      </c>
    </row>
    <row r="222" spans="1:24" x14ac:dyDescent="0.3">
      <c r="A222">
        <v>232</v>
      </c>
      <c r="B222" t="s">
        <v>49</v>
      </c>
      <c r="C222" t="s">
        <v>948</v>
      </c>
      <c r="D222" t="s">
        <v>949</v>
      </c>
      <c r="E222" t="s">
        <v>950</v>
      </c>
      <c r="F222" t="s">
        <v>264</v>
      </c>
      <c r="G222" t="s">
        <v>49</v>
      </c>
      <c r="H222" t="b">
        <v>1</v>
      </c>
      <c r="I222" t="s">
        <v>1803</v>
      </c>
      <c r="J222" s="30">
        <f ca="1">YEARFRAC(W222,X222,1)</f>
        <v>71.323750855578368</v>
      </c>
      <c r="K222" t="s">
        <v>952</v>
      </c>
      <c r="L222" s="32">
        <v>8600</v>
      </c>
      <c r="M222" s="27">
        <v>206928765544</v>
      </c>
      <c r="N222">
        <v>1955</v>
      </c>
      <c r="O222">
        <v>6</v>
      </c>
      <c r="P222">
        <v>6</v>
      </c>
      <c r="Q222">
        <v>114.24</v>
      </c>
      <c r="R222">
        <v>81.900000000000006</v>
      </c>
      <c r="S222">
        <v>29</v>
      </c>
      <c r="T222">
        <v>34.6</v>
      </c>
      <c r="U222">
        <v>4841000</v>
      </c>
      <c r="V222" s="30"/>
      <c r="W222" s="25">
        <f ca="1">TODAY()</f>
        <v>46297</v>
      </c>
      <c r="X222" s="25">
        <f>DATE(N222,O222,P222)</f>
        <v>20246</v>
      </c>
    </row>
    <row r="223" spans="1:24" x14ac:dyDescent="0.3">
      <c r="A223">
        <v>232</v>
      </c>
      <c r="B223" t="s">
        <v>103</v>
      </c>
      <c r="C223" t="s">
        <v>954</v>
      </c>
      <c r="D223" t="s">
        <v>74</v>
      </c>
      <c r="E223" t="s">
        <v>288</v>
      </c>
      <c r="F223" t="s">
        <v>955</v>
      </c>
      <c r="G223" t="s">
        <v>103</v>
      </c>
      <c r="H223" t="b">
        <v>0</v>
      </c>
      <c r="I223" t="s">
        <v>1803</v>
      </c>
      <c r="J223" s="30">
        <f ca="1">YEARFRAC(W223,X223,1)</f>
        <v>71.844616134718521</v>
      </c>
      <c r="K223" t="s">
        <v>957</v>
      </c>
      <c r="L223" s="32">
        <v>8600</v>
      </c>
      <c r="M223" s="27">
        <v>2611000000000</v>
      </c>
      <c r="N223">
        <v>1954</v>
      </c>
      <c r="O223">
        <v>11</v>
      </c>
      <c r="P223">
        <v>28</v>
      </c>
      <c r="Q223">
        <v>180.44</v>
      </c>
      <c r="R223">
        <v>69.400000000000006</v>
      </c>
      <c r="S223">
        <v>11.2</v>
      </c>
      <c r="T223">
        <v>49.7</v>
      </c>
      <c r="U223">
        <v>1366417754</v>
      </c>
      <c r="V223" s="30"/>
      <c r="W223" s="25">
        <f ca="1">TODAY()</f>
        <v>46297</v>
      </c>
      <c r="X223" s="25">
        <f>DATE(N223,O223,P223)</f>
        <v>20056</v>
      </c>
    </row>
    <row r="224" spans="1:24" x14ac:dyDescent="0.3">
      <c r="A224">
        <v>232</v>
      </c>
      <c r="B224" t="s">
        <v>38</v>
      </c>
      <c r="C224" t="s">
        <v>958</v>
      </c>
      <c r="D224" t="s">
        <v>158</v>
      </c>
      <c r="E224" t="s">
        <v>959</v>
      </c>
      <c r="F224" t="s">
        <v>731</v>
      </c>
      <c r="G224" t="s">
        <v>38</v>
      </c>
      <c r="H224" t="b">
        <v>1</v>
      </c>
      <c r="I224" t="s">
        <v>1803</v>
      </c>
      <c r="J224" s="30">
        <f ca="1">YEARFRAC(W224,X224,1)</f>
        <v>82.696101068742578</v>
      </c>
      <c r="K224" t="s">
        <v>961</v>
      </c>
      <c r="L224" s="32">
        <v>8600</v>
      </c>
      <c r="M224" s="27">
        <v>3845630030824</v>
      </c>
      <c r="N224">
        <v>1944</v>
      </c>
      <c r="O224">
        <v>1</v>
      </c>
      <c r="P224">
        <v>21</v>
      </c>
      <c r="Q224">
        <v>112.85</v>
      </c>
      <c r="R224">
        <v>80.900000000000006</v>
      </c>
      <c r="S224">
        <v>11.5</v>
      </c>
      <c r="T224">
        <v>48.8</v>
      </c>
      <c r="U224">
        <v>83132799</v>
      </c>
      <c r="V224" s="30"/>
      <c r="W224" s="25">
        <f ca="1">TODAY()</f>
        <v>46297</v>
      </c>
      <c r="X224" s="25">
        <f>DATE(N224,O224,P224)</f>
        <v>16092</v>
      </c>
    </row>
    <row r="225" spans="1:24" x14ac:dyDescent="0.3">
      <c r="A225">
        <v>232</v>
      </c>
      <c r="B225" t="s">
        <v>103</v>
      </c>
      <c r="C225" t="s">
        <v>962</v>
      </c>
      <c r="D225" t="s">
        <v>170</v>
      </c>
      <c r="E225" t="s">
        <v>963</v>
      </c>
      <c r="F225" t="s">
        <v>513</v>
      </c>
      <c r="G225" t="s">
        <v>103</v>
      </c>
      <c r="H225" t="b">
        <v>1</v>
      </c>
      <c r="I225" t="s">
        <v>1803</v>
      </c>
      <c r="J225" s="30">
        <f ca="1">YEARFRAC(W225,X225,1)</f>
        <v>78.750857736960668</v>
      </c>
      <c r="K225" t="s">
        <v>965</v>
      </c>
      <c r="L225" s="32">
        <v>8600</v>
      </c>
      <c r="M225" s="27">
        <v>703082435360</v>
      </c>
      <c r="N225">
        <v>1948</v>
      </c>
      <c r="O225">
        <v>1</v>
      </c>
      <c r="P225">
        <v>1</v>
      </c>
      <c r="Q225">
        <v>99.55</v>
      </c>
      <c r="R225">
        <v>83.6</v>
      </c>
      <c r="S225">
        <v>10.1</v>
      </c>
      <c r="T225">
        <v>28.8</v>
      </c>
      <c r="U225">
        <v>8574832</v>
      </c>
      <c r="V225" s="30"/>
      <c r="W225" s="25">
        <f ca="1">TODAY()</f>
        <v>46297</v>
      </c>
      <c r="X225" s="25">
        <f>DATE(N225,O225,P225)</f>
        <v>17533</v>
      </c>
    </row>
    <row r="226" spans="1:24" x14ac:dyDescent="0.3">
      <c r="A226">
        <v>232</v>
      </c>
      <c r="B226" t="s">
        <v>462</v>
      </c>
      <c r="C226" t="s">
        <v>966</v>
      </c>
      <c r="D226" t="s">
        <v>967</v>
      </c>
      <c r="E226" t="s">
        <v>968</v>
      </c>
      <c r="F226" t="s">
        <v>465</v>
      </c>
      <c r="G226" t="s">
        <v>462</v>
      </c>
      <c r="H226" t="b">
        <v>1</v>
      </c>
      <c r="I226" t="s">
        <v>1803</v>
      </c>
      <c r="J226" s="30">
        <f ca="1">YEARFRAC(W226,X226,1)</f>
        <v>76.803538207729304</v>
      </c>
      <c r="K226" t="s">
        <v>970</v>
      </c>
      <c r="L226" s="32">
        <v>8600</v>
      </c>
      <c r="M226" s="27">
        <v>376795508680</v>
      </c>
      <c r="N226">
        <v>1949</v>
      </c>
      <c r="O226">
        <v>12</v>
      </c>
      <c r="P226">
        <v>13</v>
      </c>
      <c r="Q226">
        <v>129.61000000000001</v>
      </c>
      <c r="R226">
        <v>71.099999999999994</v>
      </c>
      <c r="S226">
        <v>14</v>
      </c>
      <c r="T226">
        <v>43.1</v>
      </c>
      <c r="U226">
        <v>108116615</v>
      </c>
      <c r="V226" s="30"/>
      <c r="W226" s="25">
        <f ca="1">TODAY()</f>
        <v>46297</v>
      </c>
      <c r="X226" s="25">
        <f>DATE(N226,O226,P226)</f>
        <v>18245</v>
      </c>
    </row>
    <row r="227" spans="1:24" x14ac:dyDescent="0.3">
      <c r="A227">
        <v>232</v>
      </c>
      <c r="B227" t="s">
        <v>38</v>
      </c>
      <c r="C227" t="s">
        <v>972</v>
      </c>
      <c r="D227" t="s">
        <v>32</v>
      </c>
      <c r="E227" t="s">
        <v>89</v>
      </c>
      <c r="F227" t="s">
        <v>90</v>
      </c>
      <c r="G227" t="s">
        <v>38</v>
      </c>
      <c r="H227" t="b">
        <v>1</v>
      </c>
      <c r="I227" t="s">
        <v>1803</v>
      </c>
      <c r="J227" s="30">
        <f ca="1">YEARFRAC(W227,X227,1)</f>
        <v>71.006160164271051</v>
      </c>
      <c r="K227" t="s">
        <v>652</v>
      </c>
      <c r="L227" s="32">
        <v>8600</v>
      </c>
      <c r="M227" s="27">
        <v>21427700000000</v>
      </c>
      <c r="N227">
        <v>1955</v>
      </c>
      <c r="O227">
        <v>9</v>
      </c>
      <c r="P227">
        <v>30</v>
      </c>
      <c r="Q227">
        <v>117.24</v>
      </c>
      <c r="R227">
        <v>78.5</v>
      </c>
      <c r="S227">
        <v>9.6</v>
      </c>
      <c r="T227">
        <v>36.6</v>
      </c>
      <c r="U227">
        <v>328239523</v>
      </c>
      <c r="V227" s="30"/>
      <c r="W227" s="25">
        <f ca="1">TODAY()</f>
        <v>46297</v>
      </c>
      <c r="X227" s="25">
        <f>DATE(N227,O227,P227)</f>
        <v>20362</v>
      </c>
    </row>
    <row r="228" spans="1:24" x14ac:dyDescent="0.3">
      <c r="A228">
        <v>239</v>
      </c>
      <c r="B228" t="s">
        <v>49</v>
      </c>
      <c r="C228" t="s">
        <v>974</v>
      </c>
      <c r="D228" t="s">
        <v>32</v>
      </c>
      <c r="E228" t="s">
        <v>61</v>
      </c>
      <c r="F228" t="s">
        <v>264</v>
      </c>
      <c r="G228" t="s">
        <v>49</v>
      </c>
      <c r="H228" t="b">
        <v>1</v>
      </c>
      <c r="I228" t="s">
        <v>1803</v>
      </c>
      <c r="J228" s="30">
        <f ca="1">YEARFRAC(W228,X228,1)</f>
        <v>51.282683093771389</v>
      </c>
      <c r="K228" t="s">
        <v>976</v>
      </c>
      <c r="L228" s="32">
        <v>8500</v>
      </c>
      <c r="M228" s="27">
        <v>21427700000000</v>
      </c>
      <c r="N228">
        <v>1975</v>
      </c>
      <c r="O228">
        <v>6</v>
      </c>
      <c r="P228">
        <v>21</v>
      </c>
      <c r="Q228">
        <v>117.24</v>
      </c>
      <c r="R228">
        <v>78.5</v>
      </c>
      <c r="S228">
        <v>9.6</v>
      </c>
      <c r="T228">
        <v>36.6</v>
      </c>
      <c r="U228">
        <v>328239523</v>
      </c>
      <c r="V228" s="30"/>
      <c r="W228" s="25">
        <f ca="1">TODAY()</f>
        <v>46297</v>
      </c>
      <c r="X228" s="25">
        <f>DATE(N228,O228,P228)</f>
        <v>27566</v>
      </c>
    </row>
    <row r="229" spans="1:24" x14ac:dyDescent="0.3">
      <c r="A229">
        <v>239</v>
      </c>
      <c r="B229" t="s">
        <v>21</v>
      </c>
      <c r="C229" t="s">
        <v>977</v>
      </c>
      <c r="D229" t="s">
        <v>32</v>
      </c>
      <c r="E229" t="s">
        <v>614</v>
      </c>
      <c r="F229" t="s">
        <v>124</v>
      </c>
      <c r="G229" t="s">
        <v>21</v>
      </c>
      <c r="H229" t="b">
        <v>0</v>
      </c>
      <c r="I229" t="s">
        <v>1804</v>
      </c>
      <c r="J229" s="30">
        <f ca="1">YEARFRAC(W229,X229,1)</f>
        <v>77.787142609599726</v>
      </c>
      <c r="K229" t="s">
        <v>978</v>
      </c>
      <c r="L229" s="32">
        <v>8500</v>
      </c>
      <c r="M229" s="27">
        <v>21427700000000</v>
      </c>
      <c r="N229">
        <v>1948</v>
      </c>
      <c r="O229">
        <v>12</v>
      </c>
      <c r="P229">
        <v>18</v>
      </c>
      <c r="Q229">
        <v>117.24</v>
      </c>
      <c r="R229">
        <v>78.5</v>
      </c>
      <c r="S229">
        <v>9.6</v>
      </c>
      <c r="T229">
        <v>36.6</v>
      </c>
      <c r="U229">
        <v>328239523</v>
      </c>
      <c r="V229" s="30"/>
      <c r="W229" s="25">
        <f ca="1">TODAY()</f>
        <v>46297</v>
      </c>
      <c r="X229" s="25">
        <f>DATE(N229,O229,P229)</f>
        <v>17885</v>
      </c>
    </row>
    <row r="230" spans="1:24" x14ac:dyDescent="0.3">
      <c r="A230">
        <v>239</v>
      </c>
      <c r="B230" t="s">
        <v>250</v>
      </c>
      <c r="C230" t="s">
        <v>979</v>
      </c>
      <c r="D230" t="s">
        <v>105</v>
      </c>
      <c r="E230" t="s">
        <v>980</v>
      </c>
      <c r="F230" t="s">
        <v>981</v>
      </c>
      <c r="G230" t="s">
        <v>250</v>
      </c>
      <c r="H230" t="b">
        <v>1</v>
      </c>
      <c r="I230" t="s">
        <v>1803</v>
      </c>
      <c r="J230" s="30">
        <f ca="1">YEARFRAC(W230,X230,1)</f>
        <v>58.750858468677492</v>
      </c>
      <c r="K230" t="s">
        <v>982</v>
      </c>
      <c r="L230" s="32">
        <v>8500</v>
      </c>
      <c r="M230" s="27">
        <v>19910000000000</v>
      </c>
      <c r="N230">
        <v>1968</v>
      </c>
      <c r="O230">
        <v>1</v>
      </c>
      <c r="P230">
        <v>1</v>
      </c>
      <c r="Q230">
        <v>125.08</v>
      </c>
      <c r="R230">
        <v>77</v>
      </c>
      <c r="S230">
        <v>9.4</v>
      </c>
      <c r="T230">
        <v>59.2</v>
      </c>
      <c r="U230">
        <v>1397715000</v>
      </c>
      <c r="V230" s="30"/>
      <c r="W230" s="25">
        <f ca="1">TODAY()</f>
        <v>46297</v>
      </c>
      <c r="X230" s="25">
        <f>DATE(N230,O230,P230)</f>
        <v>24838</v>
      </c>
    </row>
    <row r="231" spans="1:24" x14ac:dyDescent="0.3">
      <c r="A231">
        <v>242</v>
      </c>
      <c r="B231" t="s">
        <v>59</v>
      </c>
      <c r="C231" t="s">
        <v>983</v>
      </c>
      <c r="D231" t="s">
        <v>32</v>
      </c>
      <c r="E231" t="s">
        <v>984</v>
      </c>
      <c r="F231" t="s">
        <v>985</v>
      </c>
      <c r="G231" t="s">
        <v>59</v>
      </c>
      <c r="H231" t="b">
        <v>0</v>
      </c>
      <c r="I231" t="s">
        <v>1803</v>
      </c>
      <c r="J231" s="30">
        <f ca="1">YEARFRAC(W231,X231,1)</f>
        <v>78.841889117043124</v>
      </c>
      <c r="K231" t="s">
        <v>126</v>
      </c>
      <c r="L231" s="32">
        <v>8400</v>
      </c>
      <c r="M231" s="27">
        <v>21427700000000</v>
      </c>
      <c r="N231">
        <v>1947</v>
      </c>
      <c r="O231">
        <v>11</v>
      </c>
      <c r="P231">
        <v>29</v>
      </c>
      <c r="Q231">
        <v>117.24</v>
      </c>
      <c r="R231">
        <v>78.5</v>
      </c>
      <c r="S231">
        <v>9.6</v>
      </c>
      <c r="T231">
        <v>36.6</v>
      </c>
      <c r="U231">
        <v>328239523</v>
      </c>
      <c r="V231" s="30"/>
      <c r="W231" s="25">
        <f ca="1">TODAY()</f>
        <v>46297</v>
      </c>
      <c r="X231" s="25">
        <f>DATE(N231,O231,P231)</f>
        <v>17500</v>
      </c>
    </row>
    <row r="232" spans="1:24" x14ac:dyDescent="0.3">
      <c r="A232">
        <v>242</v>
      </c>
      <c r="B232" t="s">
        <v>272</v>
      </c>
      <c r="C232" t="s">
        <v>987</v>
      </c>
      <c r="D232" t="s">
        <v>686</v>
      </c>
      <c r="E232" t="s">
        <v>988</v>
      </c>
      <c r="F232" t="s">
        <v>989</v>
      </c>
      <c r="G232" t="s">
        <v>272</v>
      </c>
      <c r="H232" t="b">
        <v>0</v>
      </c>
      <c r="I232" t="s">
        <v>1803</v>
      </c>
      <c r="J232" s="30">
        <f ca="1">YEARFRAC(W232,X232,1)</f>
        <v>81.318263772954921</v>
      </c>
      <c r="K232" t="s">
        <v>991</v>
      </c>
      <c r="L232" s="32">
        <v>8400</v>
      </c>
      <c r="M232" s="27">
        <v>351431649241</v>
      </c>
      <c r="N232">
        <v>1945</v>
      </c>
      <c r="O232">
        <v>6</v>
      </c>
      <c r="P232">
        <v>8</v>
      </c>
      <c r="Q232">
        <v>158.93</v>
      </c>
      <c r="R232">
        <v>63.9</v>
      </c>
      <c r="S232">
        <v>27.5</v>
      </c>
      <c r="T232">
        <v>29.2</v>
      </c>
      <c r="U232">
        <v>58558270</v>
      </c>
      <c r="V232" s="30"/>
      <c r="W232" s="25">
        <f ca="1">TODAY()</f>
        <v>46297</v>
      </c>
      <c r="X232" s="25">
        <f>DATE(N232,O232,P232)</f>
        <v>16596</v>
      </c>
    </row>
    <row r="233" spans="1:24" x14ac:dyDescent="0.3">
      <c r="A233">
        <v>242</v>
      </c>
      <c r="B233" t="s">
        <v>59</v>
      </c>
      <c r="C233" t="s">
        <v>992</v>
      </c>
      <c r="D233" t="s">
        <v>274</v>
      </c>
      <c r="E233" t="s">
        <v>993</v>
      </c>
      <c r="F233" t="s">
        <v>985</v>
      </c>
      <c r="G233" t="s">
        <v>59</v>
      </c>
      <c r="H233" t="b">
        <v>0</v>
      </c>
      <c r="I233" t="s">
        <v>1804</v>
      </c>
      <c r="J233" s="30">
        <f ca="1">YEARFRAC(W233,X233,1)</f>
        <v>76.367550846252314</v>
      </c>
      <c r="K233" t="s">
        <v>995</v>
      </c>
      <c r="L233" s="32">
        <v>8400</v>
      </c>
      <c r="M233" s="27">
        <v>1392680589329</v>
      </c>
      <c r="N233">
        <v>1950</v>
      </c>
      <c r="O233">
        <v>5</v>
      </c>
      <c r="P233">
        <v>21</v>
      </c>
      <c r="Q233">
        <v>119.8</v>
      </c>
      <c r="R233">
        <v>82.7</v>
      </c>
      <c r="S233">
        <v>23</v>
      </c>
      <c r="T233">
        <v>47.4</v>
      </c>
      <c r="U233">
        <v>25766605</v>
      </c>
      <c r="V233" s="30"/>
      <c r="W233" s="25">
        <f ca="1">TODAY()</f>
        <v>46297</v>
      </c>
      <c r="X233" s="25">
        <f>DATE(N233,O233,P233)</f>
        <v>18404</v>
      </c>
    </row>
    <row r="234" spans="1:24" x14ac:dyDescent="0.3">
      <c r="A234">
        <v>242</v>
      </c>
      <c r="B234" t="s">
        <v>272</v>
      </c>
      <c r="C234" t="s">
        <v>996</v>
      </c>
      <c r="D234" t="s">
        <v>105</v>
      </c>
      <c r="E234" t="s">
        <v>997</v>
      </c>
      <c r="F234" t="s">
        <v>998</v>
      </c>
      <c r="G234" t="s">
        <v>272</v>
      </c>
      <c r="H234" t="b">
        <v>0</v>
      </c>
      <c r="I234" t="s">
        <v>1804</v>
      </c>
      <c r="J234" s="30">
        <f ca="1">YEARFRAC(W234,X234,1)</f>
        <v>80.750853473043762</v>
      </c>
      <c r="K234" t="s">
        <v>1000</v>
      </c>
      <c r="L234" s="32">
        <v>8400</v>
      </c>
      <c r="M234" s="27">
        <v>19910000000000</v>
      </c>
      <c r="N234">
        <v>1946</v>
      </c>
      <c r="O234">
        <v>1</v>
      </c>
      <c r="P234">
        <v>1</v>
      </c>
      <c r="Q234">
        <v>125.08</v>
      </c>
      <c r="R234">
        <v>77</v>
      </c>
      <c r="S234">
        <v>9.4</v>
      </c>
      <c r="T234">
        <v>59.2</v>
      </c>
      <c r="U234">
        <v>1397715000</v>
      </c>
      <c r="V234" s="30"/>
      <c r="W234" s="25">
        <f ca="1">TODAY()</f>
        <v>46297</v>
      </c>
      <c r="X234" s="25">
        <f>DATE(N234,O234,P234)</f>
        <v>16803</v>
      </c>
    </row>
    <row r="235" spans="1:24" x14ac:dyDescent="0.3">
      <c r="A235">
        <v>246</v>
      </c>
      <c r="B235" t="s">
        <v>21</v>
      </c>
      <c r="C235" t="s">
        <v>1001</v>
      </c>
      <c r="D235" t="s">
        <v>32</v>
      </c>
      <c r="E235" t="s">
        <v>1002</v>
      </c>
      <c r="F235" t="s">
        <v>1003</v>
      </c>
      <c r="G235" t="s">
        <v>21</v>
      </c>
      <c r="H235" t="b">
        <v>1</v>
      </c>
      <c r="I235" t="s">
        <v>1803</v>
      </c>
      <c r="J235" s="30">
        <f ca="1">YEARFRAC(W235,X235,1)</f>
        <v>78.53730722578409</v>
      </c>
      <c r="K235" t="s">
        <v>190</v>
      </c>
      <c r="L235" s="32">
        <v>8300</v>
      </c>
      <c r="M235" s="27">
        <v>21427700000000</v>
      </c>
      <c r="N235">
        <v>1948</v>
      </c>
      <c r="O235">
        <v>3</v>
      </c>
      <c r="P235">
        <v>19</v>
      </c>
      <c r="Q235">
        <v>117.24</v>
      </c>
      <c r="R235">
        <v>78.5</v>
      </c>
      <c r="S235">
        <v>9.6</v>
      </c>
      <c r="T235">
        <v>36.6</v>
      </c>
      <c r="U235">
        <v>328239523</v>
      </c>
      <c r="V235" s="30"/>
      <c r="W235" s="25">
        <f ca="1">TODAY()</f>
        <v>46297</v>
      </c>
      <c r="X235" s="25">
        <f>DATE(N235,O235,P235)</f>
        <v>17611</v>
      </c>
    </row>
    <row r="236" spans="1:24" x14ac:dyDescent="0.3">
      <c r="A236">
        <v>249</v>
      </c>
      <c r="B236" t="s">
        <v>292</v>
      </c>
      <c r="C236" t="s">
        <v>1005</v>
      </c>
      <c r="D236" t="s">
        <v>327</v>
      </c>
      <c r="E236" t="s">
        <v>328</v>
      </c>
      <c r="F236" t="s">
        <v>619</v>
      </c>
      <c r="G236" t="s">
        <v>292</v>
      </c>
      <c r="H236" t="b">
        <v>1</v>
      </c>
      <c r="I236" t="s">
        <v>1803</v>
      </c>
      <c r="J236" s="30">
        <f ca="1">YEARFRAC(W236,X236,1)</f>
        <v>64.940429768522364</v>
      </c>
      <c r="K236" t="s">
        <v>1006</v>
      </c>
      <c r="L236" s="32">
        <v>8200</v>
      </c>
      <c r="M236" s="27">
        <v>1699876578871</v>
      </c>
      <c r="N236">
        <v>1961</v>
      </c>
      <c r="O236">
        <v>10</v>
      </c>
      <c r="P236">
        <v>24</v>
      </c>
      <c r="Q236">
        <v>180.75</v>
      </c>
      <c r="R236">
        <v>72.7</v>
      </c>
      <c r="S236">
        <v>11.4</v>
      </c>
      <c r="T236">
        <v>46.2</v>
      </c>
      <c r="U236">
        <v>144373535</v>
      </c>
      <c r="V236" s="30"/>
      <c r="W236" s="25">
        <f ca="1">TODAY()</f>
        <v>46297</v>
      </c>
      <c r="X236" s="25">
        <f>DATE(N236,O236,P236)</f>
        <v>22578</v>
      </c>
    </row>
    <row r="237" spans="1:24" x14ac:dyDescent="0.3">
      <c r="A237">
        <v>249</v>
      </c>
      <c r="B237" t="s">
        <v>72</v>
      </c>
      <c r="C237" t="s">
        <v>1007</v>
      </c>
      <c r="D237" t="s">
        <v>565</v>
      </c>
      <c r="E237" t="s">
        <v>566</v>
      </c>
      <c r="F237" t="s">
        <v>567</v>
      </c>
      <c r="G237" t="s">
        <v>72</v>
      </c>
      <c r="H237" t="b">
        <v>0</v>
      </c>
      <c r="I237" t="s">
        <v>1803</v>
      </c>
      <c r="J237" s="30">
        <f ca="1">YEARFRAC(W237,X237,1)</f>
        <v>66.159488394900293</v>
      </c>
      <c r="K237" t="s">
        <v>1009</v>
      </c>
      <c r="L237" s="32">
        <v>8200</v>
      </c>
      <c r="M237" s="27">
        <v>448120428859</v>
      </c>
      <c r="N237">
        <v>1960</v>
      </c>
      <c r="O237">
        <v>8</v>
      </c>
      <c r="P237">
        <v>4</v>
      </c>
      <c r="Q237">
        <v>267.51</v>
      </c>
      <c r="R237">
        <v>54.3</v>
      </c>
      <c r="S237">
        <v>1.5</v>
      </c>
      <c r="T237">
        <v>34.799999999999997</v>
      </c>
      <c r="U237">
        <v>200963599</v>
      </c>
      <c r="V237" s="30"/>
      <c r="W237" s="25">
        <f ca="1">TODAY()</f>
        <v>46297</v>
      </c>
      <c r="X237" s="25">
        <f>DATE(N237,O237,P237)</f>
        <v>22132</v>
      </c>
    </row>
    <row r="238" spans="1:24" x14ac:dyDescent="0.3">
      <c r="A238">
        <v>249</v>
      </c>
      <c r="B238" t="s">
        <v>49</v>
      </c>
      <c r="C238" t="s">
        <v>1010</v>
      </c>
      <c r="D238" t="s">
        <v>32</v>
      </c>
      <c r="E238" t="s">
        <v>503</v>
      </c>
      <c r="F238" t="s">
        <v>802</v>
      </c>
      <c r="G238" t="s">
        <v>49</v>
      </c>
      <c r="H238" t="b">
        <v>1</v>
      </c>
      <c r="I238" t="s">
        <v>1803</v>
      </c>
      <c r="J238" s="30">
        <f ca="1">YEARFRAC(W238,X238,1)</f>
        <v>83.049965776865164</v>
      </c>
      <c r="K238" t="s">
        <v>600</v>
      </c>
      <c r="L238" s="32">
        <v>8200</v>
      </c>
      <c r="M238" s="27">
        <v>21427700000000</v>
      </c>
      <c r="N238">
        <v>1943</v>
      </c>
      <c r="O238">
        <v>9</v>
      </c>
      <c r="P238">
        <v>14</v>
      </c>
      <c r="Q238">
        <v>117.24</v>
      </c>
      <c r="R238">
        <v>78.5</v>
      </c>
      <c r="S238">
        <v>9.6</v>
      </c>
      <c r="T238">
        <v>36.6</v>
      </c>
      <c r="U238">
        <v>328239523</v>
      </c>
      <c r="V238" s="30"/>
      <c r="W238" s="25">
        <f ca="1">TODAY()</f>
        <v>46297</v>
      </c>
      <c r="X238" s="25">
        <f>DATE(N238,O238,P238)</f>
        <v>15963</v>
      </c>
    </row>
    <row r="239" spans="1:24" x14ac:dyDescent="0.3">
      <c r="A239">
        <v>249</v>
      </c>
      <c r="B239" t="s">
        <v>462</v>
      </c>
      <c r="C239" t="s">
        <v>1012</v>
      </c>
      <c r="D239" t="s">
        <v>74</v>
      </c>
      <c r="E239" t="s">
        <v>288</v>
      </c>
      <c r="F239" t="s">
        <v>465</v>
      </c>
      <c r="G239" t="s">
        <v>462</v>
      </c>
      <c r="H239" t="b">
        <v>0</v>
      </c>
      <c r="I239" t="s">
        <v>1803</v>
      </c>
      <c r="J239" s="30">
        <f ca="1">YEARFRAC(W239,X239,1)</f>
        <v>95.132101300479121</v>
      </c>
      <c r="K239" t="s">
        <v>1014</v>
      </c>
      <c r="L239" s="32">
        <v>8200</v>
      </c>
      <c r="M239" s="27">
        <v>2611000000000</v>
      </c>
      <c r="N239">
        <v>1931</v>
      </c>
      <c r="O239">
        <v>8</v>
      </c>
      <c r="P239">
        <v>15</v>
      </c>
      <c r="Q239">
        <v>180.44</v>
      </c>
      <c r="R239">
        <v>69.400000000000006</v>
      </c>
      <c r="S239">
        <v>11.2</v>
      </c>
      <c r="T239">
        <v>49.7</v>
      </c>
      <c r="U239">
        <v>1366417754</v>
      </c>
      <c r="V239" s="30"/>
      <c r="W239" s="25">
        <f ca="1">TODAY()</f>
        <v>46297</v>
      </c>
      <c r="X239" s="25">
        <f>DATE(N239,O239,P239)</f>
        <v>11550</v>
      </c>
    </row>
    <row r="240" spans="1:24" x14ac:dyDescent="0.3">
      <c r="A240">
        <v>249</v>
      </c>
      <c r="B240" t="s">
        <v>462</v>
      </c>
      <c r="C240" t="s">
        <v>1015</v>
      </c>
      <c r="D240" t="s">
        <v>105</v>
      </c>
      <c r="E240" t="s">
        <v>153</v>
      </c>
      <c r="F240" t="s">
        <v>465</v>
      </c>
      <c r="G240" t="s">
        <v>462</v>
      </c>
      <c r="H240" t="b">
        <v>1</v>
      </c>
      <c r="I240" t="s">
        <v>1803</v>
      </c>
      <c r="J240" s="30">
        <f ca="1">YEARFRAC(W240,X240,1)</f>
        <v>72.003412969283275</v>
      </c>
      <c r="K240" t="s">
        <v>1016</v>
      </c>
      <c r="L240" s="32">
        <v>8200</v>
      </c>
      <c r="M240" s="27">
        <v>19910000000000</v>
      </c>
      <c r="N240">
        <v>1954</v>
      </c>
      <c r="O240">
        <v>10</v>
      </c>
      <c r="P240">
        <v>1</v>
      </c>
      <c r="Q240">
        <v>125.08</v>
      </c>
      <c r="R240">
        <v>77</v>
      </c>
      <c r="S240">
        <v>9.4</v>
      </c>
      <c r="T240">
        <v>59.2</v>
      </c>
      <c r="U240">
        <v>1397715000</v>
      </c>
      <c r="V240" s="30"/>
      <c r="W240" s="25">
        <f ca="1">TODAY()</f>
        <v>46297</v>
      </c>
      <c r="X240" s="25">
        <f>DATE(N240,O240,P240)</f>
        <v>19998</v>
      </c>
    </row>
    <row r="241" spans="1:24" x14ac:dyDescent="0.3">
      <c r="A241">
        <v>249</v>
      </c>
      <c r="B241" t="s">
        <v>462</v>
      </c>
      <c r="C241" t="s">
        <v>1017</v>
      </c>
      <c r="D241" t="s">
        <v>105</v>
      </c>
      <c r="E241" t="s">
        <v>336</v>
      </c>
      <c r="F241" t="s">
        <v>465</v>
      </c>
      <c r="G241" t="s">
        <v>462</v>
      </c>
      <c r="H241" t="b">
        <v>0</v>
      </c>
      <c r="I241" t="s">
        <v>1804</v>
      </c>
      <c r="J241" s="30">
        <f ca="1">YEARFRAC(W241,X241,1)</f>
        <v>45.014344384262841</v>
      </c>
      <c r="K241" t="s">
        <v>1019</v>
      </c>
      <c r="L241" s="32">
        <v>8200</v>
      </c>
      <c r="M241" s="27">
        <v>19910000000000</v>
      </c>
      <c r="N241">
        <v>1981</v>
      </c>
      <c r="O241">
        <v>9</v>
      </c>
      <c r="P241">
        <v>27</v>
      </c>
      <c r="Q241">
        <v>125.08</v>
      </c>
      <c r="R241">
        <v>77</v>
      </c>
      <c r="S241">
        <v>9.4</v>
      </c>
      <c r="T241">
        <v>59.2</v>
      </c>
      <c r="U241">
        <v>1397715000</v>
      </c>
      <c r="V241" s="30"/>
      <c r="W241" s="25">
        <f ca="1">TODAY()</f>
        <v>46297</v>
      </c>
      <c r="X241" s="25">
        <f>DATE(N241,O241,P241)</f>
        <v>29856</v>
      </c>
    </row>
    <row r="242" spans="1:24" x14ac:dyDescent="0.3">
      <c r="A242">
        <v>256</v>
      </c>
      <c r="B242" t="s">
        <v>72</v>
      </c>
      <c r="C242" t="s">
        <v>1020</v>
      </c>
      <c r="D242" t="s">
        <v>23</v>
      </c>
      <c r="E242" t="s">
        <v>24</v>
      </c>
      <c r="F242" t="s">
        <v>72</v>
      </c>
      <c r="G242" t="s">
        <v>72</v>
      </c>
      <c r="H242" t="b">
        <v>0</v>
      </c>
      <c r="I242" t="s">
        <v>1803</v>
      </c>
      <c r="J242" s="30">
        <f ca="1">YEARFRAC(W242,X242,1)</f>
        <v>73.238863400917566</v>
      </c>
      <c r="K242" t="s">
        <v>1022</v>
      </c>
      <c r="L242" s="32">
        <v>8100</v>
      </c>
      <c r="M242" s="27">
        <v>2715518274227</v>
      </c>
      <c r="N242">
        <v>1953</v>
      </c>
      <c r="O242">
        <v>7</v>
      </c>
      <c r="P242">
        <v>7</v>
      </c>
      <c r="Q242">
        <v>110.05</v>
      </c>
      <c r="R242">
        <v>82.5</v>
      </c>
      <c r="S242">
        <v>24.2</v>
      </c>
      <c r="T242">
        <v>60.7</v>
      </c>
      <c r="U242">
        <v>67059887</v>
      </c>
      <c r="V242" s="30"/>
      <c r="W242" s="25">
        <f ca="1">TODAY()</f>
        <v>46297</v>
      </c>
      <c r="X242" s="25">
        <f>DATE(N242,O242,P242)</f>
        <v>19547</v>
      </c>
    </row>
    <row r="243" spans="1:24" x14ac:dyDescent="0.3">
      <c r="A243">
        <v>256</v>
      </c>
      <c r="B243" t="s">
        <v>72</v>
      </c>
      <c r="C243" t="s">
        <v>1023</v>
      </c>
      <c r="D243" t="s">
        <v>23</v>
      </c>
      <c r="E243" t="s">
        <v>24</v>
      </c>
      <c r="F243" t="s">
        <v>72</v>
      </c>
      <c r="G243" t="s">
        <v>72</v>
      </c>
      <c r="H243" t="b">
        <v>0</v>
      </c>
      <c r="I243" t="s">
        <v>1803</v>
      </c>
      <c r="J243" s="30">
        <f ca="1">YEARFRAC(W243,X243,1)</f>
        <v>69.52086674228498</v>
      </c>
      <c r="K243" t="s">
        <v>1024</v>
      </c>
      <c r="L243" s="32">
        <v>8100</v>
      </c>
      <c r="M243" s="27">
        <v>2715518274227</v>
      </c>
      <c r="N243">
        <v>1957</v>
      </c>
      <c r="O243">
        <v>3</v>
      </c>
      <c r="P243">
        <v>26</v>
      </c>
      <c r="Q243">
        <v>110.05</v>
      </c>
      <c r="R243">
        <v>82.5</v>
      </c>
      <c r="S243">
        <v>24.2</v>
      </c>
      <c r="T243">
        <v>60.7</v>
      </c>
      <c r="U243">
        <v>67059887</v>
      </c>
      <c r="V243" s="30"/>
      <c r="W243" s="25">
        <f ca="1">TODAY()</f>
        <v>46297</v>
      </c>
      <c r="X243" s="25">
        <f>DATE(N243,O243,P243)</f>
        <v>20905</v>
      </c>
    </row>
    <row r="244" spans="1:24" x14ac:dyDescent="0.3">
      <c r="A244">
        <v>256</v>
      </c>
      <c r="B244" t="s">
        <v>103</v>
      </c>
      <c r="C244" t="s">
        <v>1025</v>
      </c>
      <c r="D244" t="s">
        <v>32</v>
      </c>
      <c r="E244" t="s">
        <v>742</v>
      </c>
      <c r="F244" t="s">
        <v>1026</v>
      </c>
      <c r="G244" t="s">
        <v>103</v>
      </c>
      <c r="H244" t="b">
        <v>1</v>
      </c>
      <c r="I244" t="s">
        <v>1803</v>
      </c>
      <c r="J244" s="30">
        <f ca="1">YEARFRAC(W244,X244,1)</f>
        <v>69.271717448273165</v>
      </c>
      <c r="K244" t="s">
        <v>1028</v>
      </c>
      <c r="L244" s="32">
        <v>8100</v>
      </c>
      <c r="M244" s="27">
        <v>21427700000000</v>
      </c>
      <c r="N244">
        <v>1957</v>
      </c>
      <c r="O244">
        <v>6</v>
      </c>
      <c r="P244">
        <v>25</v>
      </c>
      <c r="Q244">
        <v>117.24</v>
      </c>
      <c r="R244">
        <v>78.5</v>
      </c>
      <c r="S244">
        <v>9.6</v>
      </c>
      <c r="T244">
        <v>36.6</v>
      </c>
      <c r="U244">
        <v>328239523</v>
      </c>
      <c r="V244" s="30"/>
      <c r="W244" s="25">
        <f ca="1">TODAY()</f>
        <v>46297</v>
      </c>
      <c r="X244" s="25">
        <f>DATE(N244,O244,P244)</f>
        <v>20996</v>
      </c>
    </row>
    <row r="245" spans="1:24" x14ac:dyDescent="0.3">
      <c r="A245">
        <v>256</v>
      </c>
      <c r="B245" t="s">
        <v>72</v>
      </c>
      <c r="C245" t="s">
        <v>1029</v>
      </c>
      <c r="D245" t="s">
        <v>23</v>
      </c>
      <c r="E245" t="s">
        <v>24</v>
      </c>
      <c r="F245" t="s">
        <v>72</v>
      </c>
      <c r="G245" t="s">
        <v>72</v>
      </c>
      <c r="H245" t="b">
        <v>0</v>
      </c>
      <c r="I245" t="s">
        <v>1804</v>
      </c>
      <c r="J245" s="30">
        <f ca="1">YEARFRAC(W245,X245,1)</f>
        <v>61.496224332082136</v>
      </c>
      <c r="K245" t="s">
        <v>1031</v>
      </c>
      <c r="L245" s="32">
        <v>8100</v>
      </c>
      <c r="M245" s="27">
        <v>2715518274227</v>
      </c>
      <c r="N245">
        <v>1965</v>
      </c>
      <c r="O245">
        <v>4</v>
      </c>
      <c r="P245">
        <v>4</v>
      </c>
      <c r="Q245">
        <v>110.05</v>
      </c>
      <c r="R245">
        <v>82.5</v>
      </c>
      <c r="S245">
        <v>24.2</v>
      </c>
      <c r="T245">
        <v>60.7</v>
      </c>
      <c r="U245">
        <v>67059887</v>
      </c>
      <c r="V245" s="30"/>
      <c r="W245" s="25">
        <f ca="1">TODAY()</f>
        <v>46297</v>
      </c>
      <c r="X245" s="25">
        <f>DATE(N245,O245,P245)</f>
        <v>23836</v>
      </c>
    </row>
    <row r="246" spans="1:24" x14ac:dyDescent="0.3">
      <c r="A246">
        <v>256</v>
      </c>
      <c r="B246" t="s">
        <v>196</v>
      </c>
      <c r="C246" t="s">
        <v>1032</v>
      </c>
      <c r="D246" t="s">
        <v>170</v>
      </c>
      <c r="E246" t="s">
        <v>1033</v>
      </c>
      <c r="F246" t="s">
        <v>1034</v>
      </c>
      <c r="G246" t="s">
        <v>196</v>
      </c>
      <c r="H246" t="b">
        <v>1</v>
      </c>
      <c r="I246" t="s">
        <v>1803</v>
      </c>
      <c r="J246" s="30">
        <f ca="1">YEARFRAC(W246,X246,1)</f>
        <v>57.55098187311178</v>
      </c>
      <c r="K246" t="s">
        <v>1036</v>
      </c>
      <c r="L246" s="32">
        <v>8100</v>
      </c>
      <c r="M246" s="27">
        <v>703082435360</v>
      </c>
      <c r="N246">
        <v>1969</v>
      </c>
      <c r="O246">
        <v>3</v>
      </c>
      <c r="P246">
        <v>15</v>
      </c>
      <c r="Q246">
        <v>99.55</v>
      </c>
      <c r="R246">
        <v>83.6</v>
      </c>
      <c r="S246">
        <v>10.1</v>
      </c>
      <c r="T246">
        <v>28.8</v>
      </c>
      <c r="U246">
        <v>8574832</v>
      </c>
      <c r="V246" s="30"/>
      <c r="W246" s="25">
        <f ca="1">TODAY()</f>
        <v>46297</v>
      </c>
      <c r="X246" s="25">
        <f>DATE(N246,O246,P246)</f>
        <v>25277</v>
      </c>
    </row>
    <row r="247" spans="1:24" x14ac:dyDescent="0.3">
      <c r="A247">
        <v>261</v>
      </c>
      <c r="B247" t="s">
        <v>38</v>
      </c>
      <c r="C247" t="s">
        <v>1037</v>
      </c>
      <c r="D247" t="s">
        <v>32</v>
      </c>
      <c r="E247" t="s">
        <v>856</v>
      </c>
      <c r="F247" t="s">
        <v>857</v>
      </c>
      <c r="G247" t="s">
        <v>38</v>
      </c>
      <c r="H247" t="b">
        <v>1</v>
      </c>
      <c r="I247" t="s">
        <v>1803</v>
      </c>
      <c r="J247" s="30">
        <f ca="1">YEARFRAC(W247,X247,1)</f>
        <v>43.310061601642708</v>
      </c>
      <c r="K247" t="s">
        <v>1039</v>
      </c>
      <c r="L247" s="32">
        <v>8000</v>
      </c>
      <c r="M247" s="27">
        <v>21427700000000</v>
      </c>
      <c r="N247">
        <v>1983</v>
      </c>
      <c r="O247">
        <v>6</v>
      </c>
      <c r="P247">
        <v>11</v>
      </c>
      <c r="Q247">
        <v>117.24</v>
      </c>
      <c r="R247">
        <v>78.5</v>
      </c>
      <c r="S247">
        <v>9.6</v>
      </c>
      <c r="T247">
        <v>36.6</v>
      </c>
      <c r="U247">
        <v>328239523</v>
      </c>
      <c r="V247" s="30"/>
      <c r="W247" s="25">
        <f ca="1">TODAY()</f>
        <v>46297</v>
      </c>
      <c r="X247" s="25">
        <f>DATE(N247,O247,P247)</f>
        <v>30478</v>
      </c>
    </row>
    <row r="248" spans="1:24" x14ac:dyDescent="0.3">
      <c r="A248">
        <v>261</v>
      </c>
      <c r="B248" t="s">
        <v>292</v>
      </c>
      <c r="C248" t="s">
        <v>1040</v>
      </c>
      <c r="D248" t="s">
        <v>327</v>
      </c>
      <c r="E248" t="s">
        <v>328</v>
      </c>
      <c r="F248" t="s">
        <v>403</v>
      </c>
      <c r="G248" t="s">
        <v>292</v>
      </c>
      <c r="H248" t="b">
        <v>1</v>
      </c>
      <c r="I248" t="s">
        <v>1803</v>
      </c>
      <c r="J248" s="30">
        <f ca="1">YEARFRAC(W248,X248,1)</f>
        <v>70.490764662784869</v>
      </c>
      <c r="K248" t="s">
        <v>377</v>
      </c>
      <c r="L248" s="32">
        <v>8000</v>
      </c>
      <c r="M248" s="27">
        <v>1699876578871</v>
      </c>
      <c r="N248">
        <v>1956</v>
      </c>
      <c r="O248">
        <v>4</v>
      </c>
      <c r="P248">
        <v>5</v>
      </c>
      <c r="Q248">
        <v>180.75</v>
      </c>
      <c r="R248">
        <v>72.7</v>
      </c>
      <c r="S248">
        <v>11.4</v>
      </c>
      <c r="T248">
        <v>46.2</v>
      </c>
      <c r="U248">
        <v>144373535</v>
      </c>
      <c r="V248" s="30"/>
      <c r="W248" s="25">
        <f ca="1">TODAY()</f>
        <v>46297</v>
      </c>
      <c r="X248" s="25">
        <f>DATE(N248,O248,P248)</f>
        <v>20550</v>
      </c>
    </row>
    <row r="249" spans="1:24" x14ac:dyDescent="0.3">
      <c r="A249">
        <v>261</v>
      </c>
      <c r="B249" t="s">
        <v>21</v>
      </c>
      <c r="C249" t="s">
        <v>1042</v>
      </c>
      <c r="D249" t="s">
        <v>32</v>
      </c>
      <c r="E249" t="s">
        <v>984</v>
      </c>
      <c r="F249" t="s">
        <v>1043</v>
      </c>
      <c r="G249" t="s">
        <v>21</v>
      </c>
      <c r="H249" t="b">
        <v>1</v>
      </c>
      <c r="I249" t="s">
        <v>1803</v>
      </c>
      <c r="J249" s="30">
        <f ca="1">YEARFRAC(W249,X249,1)</f>
        <v>97.392188634966757</v>
      </c>
      <c r="K249" t="s">
        <v>28</v>
      </c>
      <c r="L249" s="32">
        <v>8000</v>
      </c>
      <c r="M249" s="27">
        <v>21427700000000</v>
      </c>
      <c r="N249">
        <v>1929</v>
      </c>
      <c r="O249">
        <v>5</v>
      </c>
      <c r="P249">
        <v>12</v>
      </c>
      <c r="Q249">
        <v>117.24</v>
      </c>
      <c r="R249">
        <v>78.5</v>
      </c>
      <c r="S249">
        <v>9.6</v>
      </c>
      <c r="T249">
        <v>36.6</v>
      </c>
      <c r="U249">
        <v>328239523</v>
      </c>
      <c r="V249" s="30"/>
      <c r="W249" s="25">
        <f ca="1">TODAY()</f>
        <v>46297</v>
      </c>
      <c r="X249" s="25">
        <f>DATE(N249,O249,P249)</f>
        <v>10725</v>
      </c>
    </row>
    <row r="250" spans="1:24" x14ac:dyDescent="0.3">
      <c r="A250">
        <v>261</v>
      </c>
      <c r="B250" t="s">
        <v>49</v>
      </c>
      <c r="C250" t="s">
        <v>1045</v>
      </c>
      <c r="D250" t="s">
        <v>32</v>
      </c>
      <c r="E250" t="s">
        <v>1046</v>
      </c>
      <c r="F250" t="s">
        <v>1047</v>
      </c>
      <c r="G250" t="s">
        <v>49</v>
      </c>
      <c r="H250" t="b">
        <v>1</v>
      </c>
      <c r="I250" t="s">
        <v>1803</v>
      </c>
      <c r="J250" s="30">
        <f ca="1">YEARFRAC(W250,X250,1)</f>
        <v>89.383974202969085</v>
      </c>
      <c r="K250" t="s">
        <v>1049</v>
      </c>
      <c r="L250" s="32">
        <v>8000</v>
      </c>
      <c r="M250" s="27">
        <v>21427700000000</v>
      </c>
      <c r="N250">
        <v>1937</v>
      </c>
      <c r="O250">
        <v>5</v>
      </c>
      <c r="P250">
        <v>15</v>
      </c>
      <c r="Q250">
        <v>117.24</v>
      </c>
      <c r="R250">
        <v>78.5</v>
      </c>
      <c r="S250">
        <v>9.6</v>
      </c>
      <c r="T250">
        <v>36.6</v>
      </c>
      <c r="U250">
        <v>328239523</v>
      </c>
      <c r="V250" s="30"/>
      <c r="W250" s="25">
        <f ca="1">TODAY()</f>
        <v>46297</v>
      </c>
      <c r="X250" s="25">
        <f>DATE(N250,O250,P250)</f>
        <v>13650</v>
      </c>
    </row>
    <row r="251" spans="1:24" x14ac:dyDescent="0.3">
      <c r="A251">
        <v>261</v>
      </c>
      <c r="B251" t="s">
        <v>49</v>
      </c>
      <c r="C251" t="s">
        <v>1050</v>
      </c>
      <c r="D251" t="s">
        <v>32</v>
      </c>
      <c r="E251" t="s">
        <v>33</v>
      </c>
      <c r="F251" t="s">
        <v>802</v>
      </c>
      <c r="G251" t="s">
        <v>49</v>
      </c>
      <c r="H251" t="b">
        <v>1</v>
      </c>
      <c r="I251" t="s">
        <v>1803</v>
      </c>
      <c r="J251" s="30">
        <f ca="1">YEARFRAC(W251,X251,1)</f>
        <v>63.836401162545805</v>
      </c>
      <c r="K251" t="s">
        <v>1052</v>
      </c>
      <c r="L251" s="32">
        <v>8000</v>
      </c>
      <c r="M251" s="27">
        <v>21427700000000</v>
      </c>
      <c r="N251">
        <v>1962</v>
      </c>
      <c r="O251">
        <v>12</v>
      </c>
      <c r="P251">
        <v>1</v>
      </c>
      <c r="Q251">
        <v>117.24</v>
      </c>
      <c r="R251">
        <v>78.5</v>
      </c>
      <c r="S251">
        <v>9.6</v>
      </c>
      <c r="T251">
        <v>36.6</v>
      </c>
      <c r="U251">
        <v>328239523</v>
      </c>
      <c r="V251" s="30"/>
      <c r="W251" s="25">
        <f ca="1">TODAY()</f>
        <v>46297</v>
      </c>
      <c r="X251" s="25">
        <f>DATE(N251,O251,P251)</f>
        <v>22981</v>
      </c>
    </row>
    <row r="252" spans="1:24" x14ac:dyDescent="0.3">
      <c r="A252">
        <v>261</v>
      </c>
      <c r="B252" t="s">
        <v>272</v>
      </c>
      <c r="C252" t="s">
        <v>1053</v>
      </c>
      <c r="D252" t="s">
        <v>487</v>
      </c>
      <c r="E252" t="s">
        <v>488</v>
      </c>
      <c r="F252" t="s">
        <v>1054</v>
      </c>
      <c r="G252" t="s">
        <v>272</v>
      </c>
      <c r="H252" t="b">
        <v>1</v>
      </c>
      <c r="I252" t="s">
        <v>1803</v>
      </c>
      <c r="J252" s="30">
        <f ca="1">YEARFRAC(W252,X252,1)</f>
        <v>62.381252444483074</v>
      </c>
      <c r="K252" t="s">
        <v>648</v>
      </c>
      <c r="L252" s="32">
        <v>8000</v>
      </c>
      <c r="M252" s="27">
        <v>246489245495</v>
      </c>
      <c r="N252">
        <v>1964</v>
      </c>
      <c r="O252">
        <v>5</v>
      </c>
      <c r="P252">
        <v>15</v>
      </c>
      <c r="Q252">
        <v>116.48</v>
      </c>
      <c r="R252">
        <v>79</v>
      </c>
      <c r="S252">
        <v>14.9</v>
      </c>
      <c r="T252">
        <v>46.1</v>
      </c>
      <c r="U252">
        <v>10669709</v>
      </c>
      <c r="V252" s="30"/>
      <c r="W252" s="25">
        <f ca="1">TODAY()</f>
        <v>46297</v>
      </c>
      <c r="X252" s="25">
        <f>DATE(N252,O252,P252)</f>
        <v>23512</v>
      </c>
    </row>
    <row r="253" spans="1:24" x14ac:dyDescent="0.3">
      <c r="A253">
        <v>268</v>
      </c>
      <c r="B253" t="s">
        <v>49</v>
      </c>
      <c r="C253" t="s">
        <v>1056</v>
      </c>
      <c r="D253" t="s">
        <v>32</v>
      </c>
      <c r="E253" t="s">
        <v>1057</v>
      </c>
      <c r="F253" t="s">
        <v>802</v>
      </c>
      <c r="G253" t="s">
        <v>49</v>
      </c>
      <c r="H253" t="b">
        <v>1</v>
      </c>
      <c r="I253" t="s">
        <v>1803</v>
      </c>
      <c r="J253" s="30">
        <f ca="1">YEARFRAC(W253,X253,1)</f>
        <v>56.025313415629952</v>
      </c>
      <c r="K253" t="s">
        <v>1059</v>
      </c>
      <c r="L253" s="32">
        <v>7900</v>
      </c>
      <c r="M253" s="27">
        <v>21427700000000</v>
      </c>
      <c r="N253">
        <v>1970</v>
      </c>
      <c r="O253">
        <v>9</v>
      </c>
      <c r="P253">
        <v>23</v>
      </c>
      <c r="Q253">
        <v>117.24</v>
      </c>
      <c r="R253">
        <v>78.5</v>
      </c>
      <c r="S253">
        <v>9.6</v>
      </c>
      <c r="T253">
        <v>36.6</v>
      </c>
      <c r="U253">
        <v>328239523</v>
      </c>
      <c r="V253" s="30"/>
      <c r="W253" s="25">
        <f ca="1">TODAY()</f>
        <v>46297</v>
      </c>
      <c r="X253" s="25">
        <f>DATE(N253,O253,P253)</f>
        <v>25834</v>
      </c>
    </row>
    <row r="254" spans="1:24" x14ac:dyDescent="0.3">
      <c r="A254">
        <v>268</v>
      </c>
      <c r="B254" t="s">
        <v>21</v>
      </c>
      <c r="C254" t="s">
        <v>1060</v>
      </c>
      <c r="D254" t="s">
        <v>105</v>
      </c>
      <c r="E254" t="s">
        <v>1061</v>
      </c>
      <c r="F254" t="s">
        <v>1062</v>
      </c>
      <c r="G254" t="s">
        <v>21</v>
      </c>
      <c r="H254" t="b">
        <v>1</v>
      </c>
      <c r="I254" t="s">
        <v>1803</v>
      </c>
      <c r="J254" s="30">
        <f ca="1">YEARFRAC(W254,X254,1)</f>
        <v>55.836399442816656</v>
      </c>
      <c r="K254" t="s">
        <v>1063</v>
      </c>
      <c r="L254" s="32">
        <v>7900</v>
      </c>
      <c r="M254" s="27">
        <v>19910000000000</v>
      </c>
      <c r="N254">
        <v>1970</v>
      </c>
      <c r="O254">
        <v>12</v>
      </c>
      <c r="P254">
        <v>1</v>
      </c>
      <c r="Q254">
        <v>125.08</v>
      </c>
      <c r="R254">
        <v>77</v>
      </c>
      <c r="S254">
        <v>9.4</v>
      </c>
      <c r="T254">
        <v>59.2</v>
      </c>
      <c r="U254">
        <v>1397715000</v>
      </c>
      <c r="V254" s="30"/>
      <c r="W254" s="25">
        <f ca="1">TODAY()</f>
        <v>46297</v>
      </c>
      <c r="X254" s="25">
        <f>DATE(N254,O254,P254)</f>
        <v>25903</v>
      </c>
    </row>
    <row r="255" spans="1:24" x14ac:dyDescent="0.3">
      <c r="A255">
        <v>268</v>
      </c>
      <c r="B255" t="s">
        <v>21</v>
      </c>
      <c r="C255" t="s">
        <v>1064</v>
      </c>
      <c r="D255" t="s">
        <v>32</v>
      </c>
      <c r="E255" t="s">
        <v>1065</v>
      </c>
      <c r="F255" t="s">
        <v>124</v>
      </c>
      <c r="G255" t="s">
        <v>21</v>
      </c>
      <c r="H255" t="b">
        <v>0</v>
      </c>
      <c r="I255" t="s">
        <v>1804</v>
      </c>
      <c r="J255" s="30">
        <f ca="1">YEARFRAC(W255,X255,1)</f>
        <v>75.383983572895275</v>
      </c>
      <c r="K255" t="s">
        <v>1067</v>
      </c>
      <c r="L255" s="32">
        <v>7900</v>
      </c>
      <c r="M255" s="27">
        <v>21427700000000</v>
      </c>
      <c r="N255">
        <v>1951</v>
      </c>
      <c r="O255">
        <v>5</v>
      </c>
      <c r="P255">
        <v>15</v>
      </c>
      <c r="Q255">
        <v>117.24</v>
      </c>
      <c r="R255">
        <v>78.5</v>
      </c>
      <c r="S255">
        <v>9.6</v>
      </c>
      <c r="T255">
        <v>36.6</v>
      </c>
      <c r="U255">
        <v>328239523</v>
      </c>
      <c r="V255" s="30"/>
      <c r="W255" s="25">
        <f ca="1">TODAY()</f>
        <v>46297</v>
      </c>
      <c r="X255" s="25">
        <f>DATE(N255,O255,P255)</f>
        <v>18763</v>
      </c>
    </row>
    <row r="256" spans="1:24" x14ac:dyDescent="0.3">
      <c r="A256">
        <v>268</v>
      </c>
      <c r="B256" t="s">
        <v>38</v>
      </c>
      <c r="C256" t="s">
        <v>1068</v>
      </c>
      <c r="D256" t="s">
        <v>800</v>
      </c>
      <c r="E256" t="s">
        <v>801</v>
      </c>
      <c r="F256" t="s">
        <v>1069</v>
      </c>
      <c r="G256" t="s">
        <v>38</v>
      </c>
      <c r="H256" t="b">
        <v>0</v>
      </c>
      <c r="I256" t="s">
        <v>1803</v>
      </c>
      <c r="J256" s="30">
        <f ca="1">YEARFRAC(W256,X256,1)</f>
        <v>58.274477958236659</v>
      </c>
      <c r="K256" t="s">
        <v>1071</v>
      </c>
      <c r="L256" s="32">
        <v>7900</v>
      </c>
      <c r="M256" s="27">
        <v>2029000000000</v>
      </c>
      <c r="N256">
        <v>1968</v>
      </c>
      <c r="O256">
        <v>6</v>
      </c>
      <c r="P256">
        <v>23</v>
      </c>
      <c r="Q256">
        <v>115.16</v>
      </c>
      <c r="R256">
        <v>82.6</v>
      </c>
      <c r="S256">
        <v>15.6</v>
      </c>
      <c r="T256">
        <v>33.200000000000003</v>
      </c>
      <c r="U256">
        <v>51709098</v>
      </c>
      <c r="V256" s="30"/>
      <c r="W256" s="25">
        <f ca="1">TODAY()</f>
        <v>46297</v>
      </c>
      <c r="X256" s="25">
        <f>DATE(N256,O256,P256)</f>
        <v>25012</v>
      </c>
    </row>
    <row r="257" spans="1:24" x14ac:dyDescent="0.3">
      <c r="A257">
        <v>268</v>
      </c>
      <c r="B257" t="s">
        <v>49</v>
      </c>
      <c r="C257" t="s">
        <v>1072</v>
      </c>
      <c r="D257" t="s">
        <v>32</v>
      </c>
      <c r="E257" t="s">
        <v>61</v>
      </c>
      <c r="F257" t="s">
        <v>802</v>
      </c>
      <c r="G257" t="s">
        <v>49</v>
      </c>
      <c r="H257" t="b">
        <v>1</v>
      </c>
      <c r="I257" t="s">
        <v>1803</v>
      </c>
      <c r="J257" s="30">
        <f ca="1">YEARFRAC(W257,X257,1)</f>
        <v>58.039025522041761</v>
      </c>
      <c r="K257" t="s">
        <v>1074</v>
      </c>
      <c r="L257" s="32">
        <v>7900</v>
      </c>
      <c r="M257" s="27">
        <v>21427700000000</v>
      </c>
      <c r="N257">
        <v>1968</v>
      </c>
      <c r="O257">
        <v>9</v>
      </c>
      <c r="P257">
        <v>17</v>
      </c>
      <c r="Q257">
        <v>117.24</v>
      </c>
      <c r="R257">
        <v>78.5</v>
      </c>
      <c r="S257">
        <v>9.6</v>
      </c>
      <c r="T257">
        <v>36.6</v>
      </c>
      <c r="U257">
        <v>328239523</v>
      </c>
      <c r="V257" s="30"/>
      <c r="W257" s="25">
        <f ca="1">TODAY()</f>
        <v>46297</v>
      </c>
      <c r="X257" s="25">
        <f>DATE(N257,O257,P257)</f>
        <v>25098</v>
      </c>
    </row>
    <row r="258" spans="1:24" x14ac:dyDescent="0.3">
      <c r="A258">
        <v>268</v>
      </c>
      <c r="B258" t="s">
        <v>49</v>
      </c>
      <c r="C258" t="s">
        <v>1075</v>
      </c>
      <c r="D258" t="s">
        <v>32</v>
      </c>
      <c r="E258" t="s">
        <v>61</v>
      </c>
      <c r="F258" t="s">
        <v>204</v>
      </c>
      <c r="G258" t="s">
        <v>49</v>
      </c>
      <c r="H258" t="b">
        <v>1</v>
      </c>
      <c r="I258" t="s">
        <v>1803</v>
      </c>
      <c r="J258" s="30">
        <f ca="1">YEARFRAC(W258,X258,1)</f>
        <v>75.512662559890487</v>
      </c>
      <c r="K258" t="s">
        <v>137</v>
      </c>
      <c r="L258" s="32">
        <v>7900</v>
      </c>
      <c r="M258" s="27">
        <v>21427700000000</v>
      </c>
      <c r="N258">
        <v>1951</v>
      </c>
      <c r="O258">
        <v>3</v>
      </c>
      <c r="P258">
        <v>29</v>
      </c>
      <c r="Q258">
        <v>117.24</v>
      </c>
      <c r="R258">
        <v>78.5</v>
      </c>
      <c r="S258">
        <v>9.6</v>
      </c>
      <c r="T258">
        <v>36.6</v>
      </c>
      <c r="U258">
        <v>328239523</v>
      </c>
      <c r="V258" s="30"/>
      <c r="W258" s="25">
        <f ca="1">TODAY()</f>
        <v>46297</v>
      </c>
      <c r="X258" s="25">
        <f>DATE(N258,O258,P258)</f>
        <v>18716</v>
      </c>
    </row>
    <row r="259" spans="1:24" x14ac:dyDescent="0.3">
      <c r="A259">
        <v>268</v>
      </c>
      <c r="B259" t="s">
        <v>272</v>
      </c>
      <c r="C259" t="s">
        <v>1077</v>
      </c>
      <c r="D259" t="s">
        <v>327</v>
      </c>
      <c r="E259" t="s">
        <v>328</v>
      </c>
      <c r="F259" t="s">
        <v>1078</v>
      </c>
      <c r="G259" t="s">
        <v>272</v>
      </c>
      <c r="H259" t="b">
        <v>1</v>
      </c>
      <c r="I259" t="s">
        <v>1803</v>
      </c>
      <c r="J259" s="30">
        <f ca="1">YEARFRAC(W259,X259,1)</f>
        <v>60.671454219030522</v>
      </c>
      <c r="K259" t="s">
        <v>798</v>
      </c>
      <c r="L259" s="32">
        <v>7900</v>
      </c>
      <c r="M259" s="27">
        <v>1699876578871</v>
      </c>
      <c r="N259">
        <v>1966</v>
      </c>
      <c r="O259">
        <v>1</v>
      </c>
      <c r="P259">
        <v>30</v>
      </c>
      <c r="Q259">
        <v>180.75</v>
      </c>
      <c r="R259">
        <v>72.7</v>
      </c>
      <c r="S259">
        <v>11.4</v>
      </c>
      <c r="T259">
        <v>46.2</v>
      </c>
      <c r="U259">
        <v>144373535</v>
      </c>
      <c r="V259" s="30"/>
      <c r="W259" s="25">
        <f ca="1">TODAY()</f>
        <v>46297</v>
      </c>
      <c r="X259" s="25">
        <f>DATE(N259,O259,P259)</f>
        <v>24137</v>
      </c>
    </row>
    <row r="260" spans="1:24" x14ac:dyDescent="0.3">
      <c r="A260">
        <v>268</v>
      </c>
      <c r="B260" t="s">
        <v>72</v>
      </c>
      <c r="C260" t="s">
        <v>1080</v>
      </c>
      <c r="D260" t="s">
        <v>208</v>
      </c>
      <c r="E260" t="s">
        <v>1081</v>
      </c>
      <c r="F260" t="s">
        <v>1082</v>
      </c>
      <c r="G260" t="s">
        <v>72</v>
      </c>
      <c r="H260" t="b">
        <v>1</v>
      </c>
      <c r="I260" t="s">
        <v>1803</v>
      </c>
      <c r="J260" s="30">
        <f ca="1">YEARFRAC(W260,X260,1)</f>
        <v>54.047239782965804</v>
      </c>
      <c r="K260" t="s">
        <v>755</v>
      </c>
      <c r="L260" s="32">
        <v>7900</v>
      </c>
      <c r="M260" s="27">
        <v>446314739528</v>
      </c>
      <c r="N260">
        <v>1972</v>
      </c>
      <c r="O260">
        <v>9</v>
      </c>
      <c r="P260">
        <v>14</v>
      </c>
      <c r="Q260">
        <v>118.06</v>
      </c>
      <c r="R260">
        <v>81.599999999999994</v>
      </c>
      <c r="S260">
        <v>25.4</v>
      </c>
      <c r="T260">
        <v>51.4</v>
      </c>
      <c r="U260">
        <v>8877067</v>
      </c>
      <c r="V260" s="30"/>
      <c r="W260" s="25">
        <f ca="1">TODAY()</f>
        <v>46297</v>
      </c>
      <c r="X260" s="25">
        <f>DATE(N260,O260,P260)</f>
        <v>26556</v>
      </c>
    </row>
    <row r="261" spans="1:24" x14ac:dyDescent="0.3">
      <c r="A261">
        <v>276</v>
      </c>
      <c r="B261" t="s">
        <v>65</v>
      </c>
      <c r="C261" t="s">
        <v>1084</v>
      </c>
      <c r="D261" t="s">
        <v>32</v>
      </c>
      <c r="E261" t="s">
        <v>1085</v>
      </c>
      <c r="F261" t="s">
        <v>65</v>
      </c>
      <c r="G261" t="s">
        <v>65</v>
      </c>
      <c r="H261" t="b">
        <v>1</v>
      </c>
      <c r="I261" t="s">
        <v>1803</v>
      </c>
      <c r="J261" s="30">
        <f ca="1">YEARFRAC(W261,X261,1)</f>
        <v>76.852820386815964</v>
      </c>
      <c r="K261" t="s">
        <v>1087</v>
      </c>
      <c r="L261" s="32">
        <v>7800</v>
      </c>
      <c r="M261" s="27">
        <v>21427700000000</v>
      </c>
      <c r="N261">
        <v>1949</v>
      </c>
      <c r="O261">
        <v>11</v>
      </c>
      <c r="P261">
        <v>25</v>
      </c>
      <c r="Q261">
        <v>117.24</v>
      </c>
      <c r="R261">
        <v>78.5</v>
      </c>
      <c r="S261">
        <v>9.6</v>
      </c>
      <c r="T261">
        <v>36.6</v>
      </c>
      <c r="U261">
        <v>328239523</v>
      </c>
      <c r="V261" s="30"/>
      <c r="W261" s="25">
        <f ca="1">TODAY()</f>
        <v>46297</v>
      </c>
      <c r="X261" s="25">
        <f>DATE(N261,O261,P261)</f>
        <v>18227</v>
      </c>
    </row>
    <row r="262" spans="1:24" x14ac:dyDescent="0.3">
      <c r="A262">
        <v>276</v>
      </c>
      <c r="B262" t="s">
        <v>250</v>
      </c>
      <c r="C262" t="s">
        <v>1088</v>
      </c>
      <c r="D262" t="s">
        <v>105</v>
      </c>
      <c r="E262" t="s">
        <v>106</v>
      </c>
      <c r="F262" t="s">
        <v>1089</v>
      </c>
      <c r="G262" t="s">
        <v>250</v>
      </c>
      <c r="H262" t="b">
        <v>1</v>
      </c>
      <c r="I262" t="s">
        <v>1803</v>
      </c>
      <c r="J262" s="30">
        <f ca="1">YEARFRAC(W262,X262,1)</f>
        <v>70.252573940539079</v>
      </c>
      <c r="K262" t="s">
        <v>1090</v>
      </c>
      <c r="L262" s="32">
        <v>7800</v>
      </c>
      <c r="M262" s="27">
        <v>19910000000000</v>
      </c>
      <c r="N262">
        <v>1956</v>
      </c>
      <c r="O262">
        <v>7</v>
      </c>
      <c r="P262">
        <v>1</v>
      </c>
      <c r="Q262">
        <v>125.08</v>
      </c>
      <c r="R262">
        <v>77</v>
      </c>
      <c r="S262">
        <v>9.4</v>
      </c>
      <c r="T262">
        <v>59.2</v>
      </c>
      <c r="U262">
        <v>1397715000</v>
      </c>
      <c r="V262" s="30"/>
      <c r="W262" s="25">
        <f ca="1">TODAY()</f>
        <v>46297</v>
      </c>
      <c r="X262" s="25">
        <f>DATE(N262,O262,P262)</f>
        <v>20637</v>
      </c>
    </row>
    <row r="263" spans="1:24" x14ac:dyDescent="0.3">
      <c r="A263">
        <v>276</v>
      </c>
      <c r="B263" t="s">
        <v>38</v>
      </c>
      <c r="C263" t="s">
        <v>1091</v>
      </c>
      <c r="D263" t="s">
        <v>105</v>
      </c>
      <c r="E263" t="s">
        <v>246</v>
      </c>
      <c r="F263" t="s">
        <v>1092</v>
      </c>
      <c r="G263" t="s">
        <v>38</v>
      </c>
      <c r="H263" t="b">
        <v>1</v>
      </c>
      <c r="I263" t="s">
        <v>1803</v>
      </c>
      <c r="J263" s="30">
        <f ca="1">YEARFRAC(W263,X263,1)</f>
        <v>56.745376819251646</v>
      </c>
      <c r="K263" t="s">
        <v>1094</v>
      </c>
      <c r="L263" s="32">
        <v>7800</v>
      </c>
      <c r="M263" s="27">
        <v>19910000000000</v>
      </c>
      <c r="N263">
        <v>1970</v>
      </c>
      <c r="O263">
        <v>1</v>
      </c>
      <c r="P263">
        <v>3</v>
      </c>
      <c r="Q263">
        <v>125.08</v>
      </c>
      <c r="R263">
        <v>77</v>
      </c>
      <c r="S263">
        <v>9.4</v>
      </c>
      <c r="T263">
        <v>59.2</v>
      </c>
      <c r="U263">
        <v>1397715000</v>
      </c>
      <c r="V263" s="30"/>
      <c r="W263" s="25">
        <f ca="1">TODAY()</f>
        <v>46297</v>
      </c>
      <c r="X263" s="25">
        <f>DATE(N263,O263,P263)</f>
        <v>25571</v>
      </c>
    </row>
    <row r="264" spans="1:24" x14ac:dyDescent="0.3">
      <c r="A264">
        <v>276</v>
      </c>
      <c r="B264" t="s">
        <v>250</v>
      </c>
      <c r="C264" t="s">
        <v>1095</v>
      </c>
      <c r="D264" t="s">
        <v>105</v>
      </c>
      <c r="E264" t="s">
        <v>602</v>
      </c>
      <c r="F264" t="s">
        <v>1096</v>
      </c>
      <c r="G264" t="s">
        <v>250</v>
      </c>
      <c r="H264" t="b">
        <v>1</v>
      </c>
      <c r="I264" t="s">
        <v>1803</v>
      </c>
      <c r="J264" s="30">
        <f ca="1">YEARFRAC(W264,X264,1)</f>
        <v>62.167702403198469</v>
      </c>
      <c r="K264" t="s">
        <v>1098</v>
      </c>
      <c r="L264" s="32">
        <v>7800</v>
      </c>
      <c r="M264" s="27">
        <v>19910000000000</v>
      </c>
      <c r="N264">
        <v>1964</v>
      </c>
      <c r="O264">
        <v>8</v>
      </c>
      <c r="P264">
        <v>1</v>
      </c>
      <c r="Q264">
        <v>125.08</v>
      </c>
      <c r="R264">
        <v>77</v>
      </c>
      <c r="S264">
        <v>9.4</v>
      </c>
      <c r="T264">
        <v>59.2</v>
      </c>
      <c r="U264">
        <v>1397715000</v>
      </c>
      <c r="V264" s="30"/>
      <c r="W264" s="25">
        <f ca="1">TODAY()</f>
        <v>46297</v>
      </c>
      <c r="X264" s="25">
        <f>DATE(N264,O264,P264)</f>
        <v>23590</v>
      </c>
    </row>
    <row r="265" spans="1:24" x14ac:dyDescent="0.3">
      <c r="A265">
        <v>282</v>
      </c>
      <c r="B265" t="s">
        <v>103</v>
      </c>
      <c r="C265" t="s">
        <v>1099</v>
      </c>
      <c r="D265" t="s">
        <v>23</v>
      </c>
      <c r="E265" t="s">
        <v>365</v>
      </c>
      <c r="F265" t="s">
        <v>366</v>
      </c>
      <c r="G265" t="s">
        <v>103</v>
      </c>
      <c r="H265" t="b">
        <v>0</v>
      </c>
      <c r="I265" t="s">
        <v>1803</v>
      </c>
      <c r="J265" s="30">
        <f ca="1">YEARFRAC(W265,X265,1)</f>
        <v>59.326488706365502</v>
      </c>
      <c r="K265" t="s">
        <v>1100</v>
      </c>
      <c r="L265" s="32">
        <v>7700</v>
      </c>
      <c r="M265" s="27">
        <v>2715518274227</v>
      </c>
      <c r="N265">
        <v>1967</v>
      </c>
      <c r="O265">
        <v>6</v>
      </c>
      <c r="P265">
        <v>5</v>
      </c>
      <c r="Q265">
        <v>110.05</v>
      </c>
      <c r="R265">
        <v>82.5</v>
      </c>
      <c r="S265">
        <v>24.2</v>
      </c>
      <c r="T265">
        <v>60.7</v>
      </c>
      <c r="U265">
        <v>67059887</v>
      </c>
      <c r="V265" s="30"/>
      <c r="W265" s="25">
        <f ca="1">TODAY()</f>
        <v>46297</v>
      </c>
      <c r="X265" s="25">
        <f>DATE(N265,O265,P265)</f>
        <v>24628</v>
      </c>
    </row>
    <row r="266" spans="1:24" x14ac:dyDescent="0.3">
      <c r="A266">
        <v>282</v>
      </c>
      <c r="B266" t="s">
        <v>103</v>
      </c>
      <c r="C266" t="s">
        <v>1101</v>
      </c>
      <c r="D266" t="s">
        <v>23</v>
      </c>
      <c r="E266" t="s">
        <v>365</v>
      </c>
      <c r="F266" t="s">
        <v>366</v>
      </c>
      <c r="G266" t="s">
        <v>103</v>
      </c>
      <c r="H266" t="b">
        <v>0</v>
      </c>
      <c r="I266" t="s">
        <v>1804</v>
      </c>
      <c r="J266" s="30">
        <f ca="1">YEARFRAC(W266,X266,1)</f>
        <v>46.173181103279546</v>
      </c>
      <c r="K266" t="s">
        <v>1103</v>
      </c>
      <c r="L266" s="32">
        <v>7700</v>
      </c>
      <c r="M266" s="27">
        <v>2715518274227</v>
      </c>
      <c r="N266">
        <v>1980</v>
      </c>
      <c r="O266">
        <v>7</v>
      </c>
      <c r="P266">
        <v>30</v>
      </c>
      <c r="Q266">
        <v>110.05</v>
      </c>
      <c r="R266">
        <v>82.5</v>
      </c>
      <c r="S266">
        <v>24.2</v>
      </c>
      <c r="T266">
        <v>60.7</v>
      </c>
      <c r="U266">
        <v>67059887</v>
      </c>
      <c r="V266" s="30"/>
      <c r="W266" s="25">
        <f ca="1">TODAY()</f>
        <v>46297</v>
      </c>
      <c r="X266" s="25">
        <f>DATE(N266,O266,P266)</f>
        <v>29432</v>
      </c>
    </row>
    <row r="267" spans="1:24" x14ac:dyDescent="0.3">
      <c r="A267">
        <v>282</v>
      </c>
      <c r="B267" t="s">
        <v>59</v>
      </c>
      <c r="C267" t="s">
        <v>1104</v>
      </c>
      <c r="D267" t="s">
        <v>32</v>
      </c>
      <c r="E267" t="s">
        <v>886</v>
      </c>
      <c r="F267" t="s">
        <v>1105</v>
      </c>
      <c r="G267" t="s">
        <v>59</v>
      </c>
      <c r="H267" t="b">
        <v>1</v>
      </c>
      <c r="I267" t="s">
        <v>1803</v>
      </c>
      <c r="J267" s="30">
        <f ca="1">YEARFRAC(W267,X267,1)</f>
        <v>83.611225188227237</v>
      </c>
      <c r="K267" t="s">
        <v>137</v>
      </c>
      <c r="L267" s="32">
        <v>7700</v>
      </c>
      <c r="M267" s="27">
        <v>21427700000000</v>
      </c>
      <c r="N267">
        <v>1943</v>
      </c>
      <c r="O267">
        <v>2</v>
      </c>
      <c r="P267">
        <v>21</v>
      </c>
      <c r="Q267">
        <v>117.24</v>
      </c>
      <c r="R267">
        <v>78.5</v>
      </c>
      <c r="S267">
        <v>9.6</v>
      </c>
      <c r="T267">
        <v>36.6</v>
      </c>
      <c r="U267">
        <v>328239523</v>
      </c>
      <c r="V267" s="30"/>
      <c r="W267" s="25">
        <f ca="1">TODAY()</f>
        <v>46297</v>
      </c>
      <c r="X267" s="25">
        <f>DATE(N267,O267,P267)</f>
        <v>15758</v>
      </c>
    </row>
    <row r="268" spans="1:24" x14ac:dyDescent="0.3">
      <c r="A268">
        <v>282</v>
      </c>
      <c r="B268" t="s">
        <v>38</v>
      </c>
      <c r="C268" t="s">
        <v>1107</v>
      </c>
      <c r="D268" t="s">
        <v>105</v>
      </c>
      <c r="E268" t="s">
        <v>153</v>
      </c>
      <c r="F268" t="s">
        <v>1108</v>
      </c>
      <c r="G268" t="s">
        <v>38</v>
      </c>
      <c r="H268" t="b">
        <v>1</v>
      </c>
      <c r="I268" t="s">
        <v>1803</v>
      </c>
      <c r="J268" s="30">
        <f ca="1">YEARFRAC(W268,X268,1)</f>
        <v>57.872018561484921</v>
      </c>
      <c r="K268" t="s">
        <v>217</v>
      </c>
      <c r="L268" s="32">
        <v>7700</v>
      </c>
      <c r="M268" s="27">
        <v>19910000000000</v>
      </c>
      <c r="N268">
        <v>1968</v>
      </c>
      <c r="O268">
        <v>11</v>
      </c>
      <c r="P268">
        <v>17</v>
      </c>
      <c r="Q268">
        <v>125.08</v>
      </c>
      <c r="R268">
        <v>77</v>
      </c>
      <c r="S268">
        <v>9.4</v>
      </c>
      <c r="T268">
        <v>59.2</v>
      </c>
      <c r="U268">
        <v>1397715000</v>
      </c>
      <c r="V268" s="30"/>
      <c r="W268" s="25">
        <f ca="1">TODAY()</f>
        <v>46297</v>
      </c>
      <c r="X268" s="25">
        <f>DATE(N268,O268,P268)</f>
        <v>25159</v>
      </c>
    </row>
    <row r="269" spans="1:24" x14ac:dyDescent="0.3">
      <c r="A269">
        <v>282</v>
      </c>
      <c r="B269" t="s">
        <v>381</v>
      </c>
      <c r="C269" t="s">
        <v>1109</v>
      </c>
      <c r="D269" t="s">
        <v>105</v>
      </c>
      <c r="E269" t="s">
        <v>655</v>
      </c>
      <c r="F269" t="s">
        <v>656</v>
      </c>
      <c r="G269" t="s">
        <v>381</v>
      </c>
      <c r="H269" t="b">
        <v>1</v>
      </c>
      <c r="I269" t="s">
        <v>1803</v>
      </c>
      <c r="J269" s="30">
        <f ca="1">YEARFRAC(W269,X269,1)</f>
        <v>75.08555783709788</v>
      </c>
      <c r="K269" t="s">
        <v>1110</v>
      </c>
      <c r="L269" s="32">
        <v>7700</v>
      </c>
      <c r="M269" s="27">
        <v>19910000000000</v>
      </c>
      <c r="N269">
        <v>1951</v>
      </c>
      <c r="O269">
        <v>9</v>
      </c>
      <c r="P269">
        <v>1</v>
      </c>
      <c r="Q269">
        <v>125.08</v>
      </c>
      <c r="R269">
        <v>77</v>
      </c>
      <c r="S269">
        <v>9.4</v>
      </c>
      <c r="T269">
        <v>59.2</v>
      </c>
      <c r="U269">
        <v>1397715000</v>
      </c>
      <c r="V269" s="30"/>
      <c r="W269" s="25">
        <f ca="1">TODAY()</f>
        <v>46297</v>
      </c>
      <c r="X269" s="25">
        <f>DATE(N269,O269,P269)</f>
        <v>18872</v>
      </c>
    </row>
    <row r="270" spans="1:24" x14ac:dyDescent="0.3">
      <c r="A270">
        <v>282</v>
      </c>
      <c r="B270" t="s">
        <v>38</v>
      </c>
      <c r="C270" t="s">
        <v>1111</v>
      </c>
      <c r="D270" t="s">
        <v>32</v>
      </c>
      <c r="E270" t="s">
        <v>464</v>
      </c>
      <c r="F270" t="s">
        <v>387</v>
      </c>
      <c r="G270" t="s">
        <v>38</v>
      </c>
      <c r="H270" t="b">
        <v>1</v>
      </c>
      <c r="I270" t="s">
        <v>1803</v>
      </c>
      <c r="J270" s="30">
        <f ca="1">YEARFRAC(W270,X270,1)</f>
        <v>72.033529610321423</v>
      </c>
      <c r="K270" t="s">
        <v>1113</v>
      </c>
      <c r="L270" s="32">
        <v>7700</v>
      </c>
      <c r="M270" s="27">
        <v>21427700000000</v>
      </c>
      <c r="N270">
        <v>1954</v>
      </c>
      <c r="O270">
        <v>9</v>
      </c>
      <c r="P270">
        <v>20</v>
      </c>
      <c r="Q270">
        <v>117.24</v>
      </c>
      <c r="R270">
        <v>78.5</v>
      </c>
      <c r="S270">
        <v>9.6</v>
      </c>
      <c r="T270">
        <v>36.6</v>
      </c>
      <c r="U270">
        <v>328239523</v>
      </c>
      <c r="V270" s="30"/>
      <c r="W270" s="25">
        <f ca="1">TODAY()</f>
        <v>46297</v>
      </c>
      <c r="X270" s="25">
        <f>DATE(N270,O270,P270)</f>
        <v>19987</v>
      </c>
    </row>
    <row r="271" spans="1:24" x14ac:dyDescent="0.3">
      <c r="A271">
        <v>282</v>
      </c>
      <c r="B271" t="s">
        <v>351</v>
      </c>
      <c r="C271" t="s">
        <v>1114</v>
      </c>
      <c r="D271" t="s">
        <v>32</v>
      </c>
      <c r="E271" t="s">
        <v>634</v>
      </c>
      <c r="F271" t="s">
        <v>548</v>
      </c>
      <c r="G271" t="s">
        <v>351</v>
      </c>
      <c r="H271" t="b">
        <v>1</v>
      </c>
      <c r="I271" t="s">
        <v>1803</v>
      </c>
      <c r="J271" s="30">
        <f ca="1">YEARFRAC(W271,X271,1)</f>
        <v>71.745379876796719</v>
      </c>
      <c r="K271" t="s">
        <v>255</v>
      </c>
      <c r="L271" s="32">
        <v>7700</v>
      </c>
      <c r="M271" s="27">
        <v>21427700000000</v>
      </c>
      <c r="N271">
        <v>1955</v>
      </c>
      <c r="O271">
        <v>1</v>
      </c>
      <c r="P271">
        <v>3</v>
      </c>
      <c r="Q271">
        <v>117.24</v>
      </c>
      <c r="R271">
        <v>78.5</v>
      </c>
      <c r="S271">
        <v>9.6</v>
      </c>
      <c r="T271">
        <v>36.6</v>
      </c>
      <c r="U271">
        <v>328239523</v>
      </c>
      <c r="V271" s="30"/>
      <c r="W271" s="25">
        <f ca="1">TODAY()</f>
        <v>46297</v>
      </c>
      <c r="X271" s="25">
        <f>DATE(N271,O271,P271)</f>
        <v>20092</v>
      </c>
    </row>
    <row r="272" spans="1:24" x14ac:dyDescent="0.3">
      <c r="A272">
        <v>282</v>
      </c>
      <c r="B272" t="s">
        <v>462</v>
      </c>
      <c r="C272" t="s">
        <v>1116</v>
      </c>
      <c r="D272" t="s">
        <v>1117</v>
      </c>
      <c r="E272" t="s">
        <v>1118</v>
      </c>
      <c r="F272" t="s">
        <v>465</v>
      </c>
      <c r="G272" t="s">
        <v>462</v>
      </c>
      <c r="H272" t="b">
        <v>1</v>
      </c>
      <c r="I272" t="s">
        <v>1803</v>
      </c>
      <c r="J272" s="30">
        <f ca="1">YEARFRAC(W272,X272,1)</f>
        <v>65.277192400232309</v>
      </c>
      <c r="K272" t="s">
        <v>1120</v>
      </c>
      <c r="L272" s="32">
        <v>7700</v>
      </c>
      <c r="M272" s="27">
        <v>403336363636</v>
      </c>
      <c r="N272">
        <v>1961</v>
      </c>
      <c r="O272">
        <v>6</v>
      </c>
      <c r="P272">
        <v>23</v>
      </c>
      <c r="Q272">
        <v>120.27</v>
      </c>
      <c r="R272">
        <v>82.8</v>
      </c>
      <c r="S272">
        <v>23.9</v>
      </c>
      <c r="T272">
        <v>36.200000000000003</v>
      </c>
      <c r="U272">
        <v>5347896</v>
      </c>
      <c r="V272" s="30"/>
      <c r="W272" s="25">
        <f ca="1">TODAY()</f>
        <v>46297</v>
      </c>
      <c r="X272" s="25">
        <f>DATE(N272,O272,P272)</f>
        <v>22455</v>
      </c>
    </row>
    <row r="273" spans="1:24" x14ac:dyDescent="0.3">
      <c r="A273">
        <v>290</v>
      </c>
      <c r="B273" t="s">
        <v>292</v>
      </c>
      <c r="C273" t="s">
        <v>1122</v>
      </c>
      <c r="D273" t="s">
        <v>105</v>
      </c>
      <c r="E273" t="s">
        <v>1123</v>
      </c>
      <c r="F273" t="s">
        <v>1124</v>
      </c>
      <c r="G273" t="s">
        <v>292</v>
      </c>
      <c r="H273" t="b">
        <v>1</v>
      </c>
      <c r="I273" t="s">
        <v>1803</v>
      </c>
      <c r="J273" s="30">
        <f ca="1">YEARFRAC(W273,X273,1)</f>
        <v>58.189605568445479</v>
      </c>
      <c r="K273" t="s">
        <v>1126</v>
      </c>
      <c r="L273" s="32">
        <v>7600</v>
      </c>
      <c r="M273" s="27">
        <v>19910000000000</v>
      </c>
      <c r="N273">
        <v>1968</v>
      </c>
      <c r="O273">
        <v>7</v>
      </c>
      <c r="P273">
        <v>24</v>
      </c>
      <c r="Q273">
        <v>125.08</v>
      </c>
      <c r="R273">
        <v>77</v>
      </c>
      <c r="S273">
        <v>9.4</v>
      </c>
      <c r="T273">
        <v>59.2</v>
      </c>
      <c r="U273">
        <v>1397715000</v>
      </c>
      <c r="V273" s="30"/>
      <c r="W273" s="25">
        <f ca="1">TODAY()</f>
        <v>46297</v>
      </c>
      <c r="X273" s="25">
        <f>DATE(N273,O273,P273)</f>
        <v>25043</v>
      </c>
    </row>
    <row r="274" spans="1:24" x14ac:dyDescent="0.3">
      <c r="A274">
        <v>290</v>
      </c>
      <c r="B274" t="s">
        <v>351</v>
      </c>
      <c r="C274" t="s">
        <v>1127</v>
      </c>
      <c r="D274" t="s">
        <v>74</v>
      </c>
      <c r="E274" t="s">
        <v>143</v>
      </c>
      <c r="F274" t="s">
        <v>517</v>
      </c>
      <c r="G274" t="s">
        <v>351</v>
      </c>
      <c r="H274" t="b">
        <v>1</v>
      </c>
      <c r="I274" t="s">
        <v>1803</v>
      </c>
      <c r="J274" s="30">
        <f ca="1">YEARFRAC(W274,X274,1)</f>
        <v>93.036262487985326</v>
      </c>
      <c r="K274" t="s">
        <v>1129</v>
      </c>
      <c r="L274" s="32">
        <v>7600</v>
      </c>
      <c r="M274" s="27">
        <v>2611000000000</v>
      </c>
      <c r="N274">
        <v>1933</v>
      </c>
      <c r="O274">
        <v>9</v>
      </c>
      <c r="P274">
        <v>19</v>
      </c>
      <c r="Q274">
        <v>180.44</v>
      </c>
      <c r="R274">
        <v>69.400000000000006</v>
      </c>
      <c r="S274">
        <v>11.2</v>
      </c>
      <c r="T274">
        <v>49.7</v>
      </c>
      <c r="U274">
        <v>1366417754</v>
      </c>
      <c r="V274" s="30"/>
      <c r="W274" s="25">
        <f ca="1">TODAY()</f>
        <v>46297</v>
      </c>
      <c r="X274" s="25">
        <f>DATE(N274,O274,P274)</f>
        <v>12316</v>
      </c>
    </row>
    <row r="275" spans="1:24" x14ac:dyDescent="0.3">
      <c r="A275">
        <v>290</v>
      </c>
      <c r="B275" t="s">
        <v>250</v>
      </c>
      <c r="C275" t="s">
        <v>1130</v>
      </c>
      <c r="D275" t="s">
        <v>226</v>
      </c>
      <c r="E275" t="s">
        <v>227</v>
      </c>
      <c r="F275" t="s">
        <v>348</v>
      </c>
      <c r="G275" t="s">
        <v>250</v>
      </c>
      <c r="H275" t="b">
        <v>1</v>
      </c>
      <c r="I275" t="s">
        <v>1803</v>
      </c>
      <c r="J275" s="30">
        <f ca="1">YEARFRAC(W275,X275,1)</f>
        <v>70.828199863107457</v>
      </c>
      <c r="K275" t="s">
        <v>412</v>
      </c>
      <c r="L275" s="32">
        <v>7600</v>
      </c>
      <c r="M275" s="27">
        <v>2827113184696</v>
      </c>
      <c r="N275">
        <v>1955</v>
      </c>
      <c r="O275">
        <v>12</v>
      </c>
      <c r="P275">
        <v>4</v>
      </c>
      <c r="Q275">
        <v>119.62</v>
      </c>
      <c r="R275">
        <v>81.3</v>
      </c>
      <c r="S275">
        <v>25.5</v>
      </c>
      <c r="T275">
        <v>30.6</v>
      </c>
      <c r="U275">
        <v>66834405</v>
      </c>
      <c r="V275" s="30"/>
      <c r="W275" s="25">
        <f ca="1">TODAY()</f>
        <v>46297</v>
      </c>
      <c r="X275" s="25">
        <f>DATE(N275,O275,P275)</f>
        <v>20427</v>
      </c>
    </row>
    <row r="276" spans="1:24" x14ac:dyDescent="0.3">
      <c r="A276">
        <v>290</v>
      </c>
      <c r="B276" t="s">
        <v>38</v>
      </c>
      <c r="C276" t="s">
        <v>1132</v>
      </c>
      <c r="D276" t="s">
        <v>32</v>
      </c>
      <c r="E276" t="s">
        <v>33</v>
      </c>
      <c r="F276" t="s">
        <v>857</v>
      </c>
      <c r="G276" t="s">
        <v>38</v>
      </c>
      <c r="H276" t="b">
        <v>1</v>
      </c>
      <c r="I276" t="s">
        <v>1803</v>
      </c>
      <c r="J276" s="30">
        <f ca="1">YEARFRAC(W276,X276,1)</f>
        <v>45.115647878102493</v>
      </c>
      <c r="K276" t="s">
        <v>1134</v>
      </c>
      <c r="L276" s="32">
        <v>7600</v>
      </c>
      <c r="M276" s="27">
        <v>21427700000000</v>
      </c>
      <c r="N276">
        <v>1981</v>
      </c>
      <c r="O276">
        <v>8</v>
      </c>
      <c r="P276">
        <v>21</v>
      </c>
      <c r="Q276">
        <v>117.24</v>
      </c>
      <c r="R276">
        <v>78.5</v>
      </c>
      <c r="S276">
        <v>9.6</v>
      </c>
      <c r="T276">
        <v>36.6</v>
      </c>
      <c r="U276">
        <v>328239523</v>
      </c>
      <c r="V276" s="30"/>
      <c r="W276" s="25">
        <f ca="1">TODAY()</f>
        <v>46297</v>
      </c>
      <c r="X276" s="25">
        <f>DATE(N276,O276,P276)</f>
        <v>29819</v>
      </c>
    </row>
    <row r="277" spans="1:24" x14ac:dyDescent="0.3">
      <c r="A277">
        <v>290</v>
      </c>
      <c r="B277" t="s">
        <v>462</v>
      </c>
      <c r="C277" t="s">
        <v>1135</v>
      </c>
      <c r="D277" t="s">
        <v>555</v>
      </c>
      <c r="E277" t="s">
        <v>555</v>
      </c>
      <c r="F277" t="s">
        <v>462</v>
      </c>
      <c r="G277" t="s">
        <v>462</v>
      </c>
      <c r="H277" t="b">
        <v>0</v>
      </c>
      <c r="I277" t="s">
        <v>1803</v>
      </c>
      <c r="J277" s="30">
        <f ca="1">YEARFRAC(W277,X277,1)</f>
        <v>67.750855578370974</v>
      </c>
      <c r="K277" t="s">
        <v>696</v>
      </c>
      <c r="L277" s="32">
        <v>7600</v>
      </c>
      <c r="M277" s="27">
        <v>372062527489</v>
      </c>
      <c r="N277">
        <v>1959</v>
      </c>
      <c r="O277">
        <v>1</v>
      </c>
      <c r="P277">
        <v>1</v>
      </c>
      <c r="Q277">
        <v>114.41</v>
      </c>
      <c r="R277">
        <v>83.1</v>
      </c>
      <c r="S277">
        <v>13.1</v>
      </c>
      <c r="T277">
        <v>21</v>
      </c>
      <c r="U277">
        <v>5703569</v>
      </c>
      <c r="V277" s="30"/>
      <c r="W277" s="25">
        <f ca="1">TODAY()</f>
        <v>46297</v>
      </c>
      <c r="X277" s="25">
        <f>DATE(N277,O277,P277)</f>
        <v>21551</v>
      </c>
    </row>
    <row r="278" spans="1:24" x14ac:dyDescent="0.3">
      <c r="A278">
        <v>290</v>
      </c>
      <c r="B278" t="s">
        <v>250</v>
      </c>
      <c r="C278" t="s">
        <v>1137</v>
      </c>
      <c r="D278" t="s">
        <v>226</v>
      </c>
      <c r="E278" t="s">
        <v>227</v>
      </c>
      <c r="F278" t="s">
        <v>348</v>
      </c>
      <c r="G278" t="s">
        <v>250</v>
      </c>
      <c r="H278" t="b">
        <v>1</v>
      </c>
      <c r="I278" t="s">
        <v>1803</v>
      </c>
      <c r="J278" s="30">
        <f ca="1">YEARFRAC(W278,X278,1)</f>
        <v>69.572886924551185</v>
      </c>
      <c r="K278" t="s">
        <v>190</v>
      </c>
      <c r="L278" s="32">
        <v>7600</v>
      </c>
      <c r="M278" s="27">
        <v>2827113184696</v>
      </c>
      <c r="N278">
        <v>1957</v>
      </c>
      <c r="O278">
        <v>3</v>
      </c>
      <c r="P278">
        <v>7</v>
      </c>
      <c r="Q278">
        <v>119.62</v>
      </c>
      <c r="R278">
        <v>81.3</v>
      </c>
      <c r="S278">
        <v>25.5</v>
      </c>
      <c r="T278">
        <v>30.6</v>
      </c>
      <c r="U278">
        <v>66834405</v>
      </c>
      <c r="V278" s="30"/>
      <c r="W278" s="25">
        <f ca="1">TODAY()</f>
        <v>46297</v>
      </c>
      <c r="X278" s="25">
        <f>DATE(N278,O278,P278)</f>
        <v>20886</v>
      </c>
    </row>
    <row r="279" spans="1:24" x14ac:dyDescent="0.3">
      <c r="A279">
        <v>290</v>
      </c>
      <c r="B279" t="s">
        <v>462</v>
      </c>
      <c r="C279" t="s">
        <v>1139</v>
      </c>
      <c r="D279" t="s">
        <v>32</v>
      </c>
      <c r="E279" t="s">
        <v>61</v>
      </c>
      <c r="F279" t="s">
        <v>465</v>
      </c>
      <c r="G279" t="s">
        <v>462</v>
      </c>
      <c r="H279" t="b">
        <v>0</v>
      </c>
      <c r="I279" t="s">
        <v>1803</v>
      </c>
      <c r="J279" s="30">
        <f ca="1">YEARFRAC(W279,X279,1)</f>
        <v>88.515396683791181</v>
      </c>
      <c r="K279" t="s">
        <v>392</v>
      </c>
      <c r="L279" s="32">
        <v>7600</v>
      </c>
      <c r="M279" s="27">
        <v>21427700000000</v>
      </c>
      <c r="N279">
        <v>1938</v>
      </c>
      <c r="O279">
        <v>3</v>
      </c>
      <c r="P279">
        <v>28</v>
      </c>
      <c r="Q279">
        <v>117.24</v>
      </c>
      <c r="R279">
        <v>78.5</v>
      </c>
      <c r="S279">
        <v>9.6</v>
      </c>
      <c r="T279">
        <v>36.6</v>
      </c>
      <c r="U279">
        <v>328239523</v>
      </c>
      <c r="V279" s="30"/>
      <c r="W279" s="25">
        <f ca="1">TODAY()</f>
        <v>46297</v>
      </c>
      <c r="X279" s="25">
        <f>DATE(N279,O279,P279)</f>
        <v>13967</v>
      </c>
    </row>
    <row r="280" spans="1:24" x14ac:dyDescent="0.3">
      <c r="A280">
        <v>290</v>
      </c>
      <c r="B280" t="s">
        <v>351</v>
      </c>
      <c r="C280" t="s">
        <v>1141</v>
      </c>
      <c r="D280" t="s">
        <v>105</v>
      </c>
      <c r="E280" t="s">
        <v>246</v>
      </c>
      <c r="F280" t="s">
        <v>517</v>
      </c>
      <c r="G280" t="s">
        <v>351</v>
      </c>
      <c r="H280" t="b">
        <v>1</v>
      </c>
      <c r="I280" t="s">
        <v>1804</v>
      </c>
      <c r="J280" s="30">
        <f ca="1">YEARFRAC(W280,X280,1)</f>
        <v>65.750850410686141</v>
      </c>
      <c r="K280" t="s">
        <v>1142</v>
      </c>
      <c r="L280" s="32">
        <v>7600</v>
      </c>
      <c r="M280" s="27">
        <v>19910000000000</v>
      </c>
      <c r="N280">
        <v>1961</v>
      </c>
      <c r="O280">
        <v>1</v>
      </c>
      <c r="P280">
        <v>1</v>
      </c>
      <c r="Q280">
        <v>125.08</v>
      </c>
      <c r="R280">
        <v>77</v>
      </c>
      <c r="S280">
        <v>9.4</v>
      </c>
      <c r="T280">
        <v>59.2</v>
      </c>
      <c r="U280">
        <v>1397715000</v>
      </c>
      <c r="V280" s="30"/>
      <c r="W280" s="25">
        <f ca="1">TODAY()</f>
        <v>46297</v>
      </c>
      <c r="X280" s="25">
        <f>DATE(N280,O280,P280)</f>
        <v>22282</v>
      </c>
    </row>
    <row r="281" spans="1:24" x14ac:dyDescent="0.3">
      <c r="A281">
        <v>299</v>
      </c>
      <c r="B281" t="s">
        <v>590</v>
      </c>
      <c r="C281" t="s">
        <v>1143</v>
      </c>
      <c r="D281" t="s">
        <v>32</v>
      </c>
      <c r="E281" t="s">
        <v>984</v>
      </c>
      <c r="F281" t="s">
        <v>1043</v>
      </c>
      <c r="G281" t="s">
        <v>590</v>
      </c>
      <c r="H281" t="b">
        <v>1</v>
      </c>
      <c r="I281" t="s">
        <v>1803</v>
      </c>
      <c r="J281" s="30">
        <f ca="1">YEARFRAC(W281,X281,1)</f>
        <v>84.014365779810603</v>
      </c>
      <c r="K281" t="s">
        <v>1145</v>
      </c>
      <c r="L281" s="32">
        <v>7500</v>
      </c>
      <c r="M281" s="27">
        <v>21427700000000</v>
      </c>
      <c r="N281">
        <v>1942</v>
      </c>
      <c r="O281">
        <v>9</v>
      </c>
      <c r="P281">
        <v>27</v>
      </c>
      <c r="Q281">
        <v>117.24</v>
      </c>
      <c r="R281">
        <v>78.5</v>
      </c>
      <c r="S281">
        <v>9.6</v>
      </c>
      <c r="T281">
        <v>36.6</v>
      </c>
      <c r="U281">
        <v>328239523</v>
      </c>
      <c r="V281" s="30"/>
      <c r="W281" s="25">
        <f ca="1">TODAY()</f>
        <v>46297</v>
      </c>
      <c r="X281" s="25">
        <f>DATE(N281,O281,P281)</f>
        <v>15611</v>
      </c>
    </row>
    <row r="282" spans="1:24" x14ac:dyDescent="0.3">
      <c r="A282">
        <v>299</v>
      </c>
      <c r="B282" t="s">
        <v>21</v>
      </c>
      <c r="C282" t="s">
        <v>1146</v>
      </c>
      <c r="D282" t="s">
        <v>32</v>
      </c>
      <c r="E282" t="s">
        <v>1147</v>
      </c>
      <c r="F282" t="s">
        <v>1148</v>
      </c>
      <c r="G282" t="s">
        <v>21</v>
      </c>
      <c r="H282" t="b">
        <v>0</v>
      </c>
      <c r="I282" t="s">
        <v>1803</v>
      </c>
      <c r="J282" s="30">
        <f ca="1">YEARFRAC(W282,X282,1)</f>
        <v>88.660503891469531</v>
      </c>
      <c r="K282" t="s">
        <v>119</v>
      </c>
      <c r="L282" s="32">
        <v>7500</v>
      </c>
      <c r="M282" s="27">
        <v>21427700000000</v>
      </c>
      <c r="N282">
        <v>1938</v>
      </c>
      <c r="O282">
        <v>2</v>
      </c>
      <c r="P282">
        <v>3</v>
      </c>
      <c r="Q282">
        <v>117.24</v>
      </c>
      <c r="R282">
        <v>78.5</v>
      </c>
      <c r="S282">
        <v>9.6</v>
      </c>
      <c r="T282">
        <v>36.6</v>
      </c>
      <c r="U282">
        <v>328239523</v>
      </c>
      <c r="V282" s="30"/>
      <c r="W282" s="25">
        <f ca="1">TODAY()</f>
        <v>46297</v>
      </c>
      <c r="X282" s="25">
        <f>DATE(N282,O282,P282)</f>
        <v>13914</v>
      </c>
    </row>
    <row r="283" spans="1:24" x14ac:dyDescent="0.3">
      <c r="A283">
        <v>299</v>
      </c>
      <c r="B283" t="s">
        <v>21</v>
      </c>
      <c r="C283" t="s">
        <v>1150</v>
      </c>
      <c r="D283" t="s">
        <v>105</v>
      </c>
      <c r="E283" t="s">
        <v>1061</v>
      </c>
      <c r="F283" t="s">
        <v>1062</v>
      </c>
      <c r="G283" t="s">
        <v>21</v>
      </c>
      <c r="H283" t="b">
        <v>1</v>
      </c>
      <c r="I283" t="s">
        <v>1803</v>
      </c>
      <c r="J283" s="30">
        <f ca="1">YEARFRAC(W283,X283,1)</f>
        <v>62.750858285167965</v>
      </c>
      <c r="K283" t="s">
        <v>1151</v>
      </c>
      <c r="L283" s="32">
        <v>7500</v>
      </c>
      <c r="M283" s="27">
        <v>19910000000000</v>
      </c>
      <c r="N283">
        <v>1964</v>
      </c>
      <c r="O283">
        <v>1</v>
      </c>
      <c r="P283">
        <v>1</v>
      </c>
      <c r="Q283">
        <v>125.08</v>
      </c>
      <c r="R283">
        <v>77</v>
      </c>
      <c r="S283">
        <v>9.4</v>
      </c>
      <c r="T283">
        <v>59.2</v>
      </c>
      <c r="U283">
        <v>1397715000</v>
      </c>
      <c r="V283" s="30"/>
      <c r="W283" s="25">
        <f ca="1">TODAY()</f>
        <v>46297</v>
      </c>
      <c r="X283" s="25">
        <f>DATE(N283,O283,P283)</f>
        <v>23377</v>
      </c>
    </row>
    <row r="284" spans="1:24" x14ac:dyDescent="0.3">
      <c r="A284">
        <v>299</v>
      </c>
      <c r="B284" t="s">
        <v>49</v>
      </c>
      <c r="C284" t="s">
        <v>1152</v>
      </c>
      <c r="D284" t="s">
        <v>32</v>
      </c>
      <c r="E284" t="s">
        <v>301</v>
      </c>
      <c r="F284" t="s">
        <v>204</v>
      </c>
      <c r="G284" t="s">
        <v>49</v>
      </c>
      <c r="H284" t="b">
        <v>1</v>
      </c>
      <c r="I284" t="s">
        <v>1803</v>
      </c>
      <c r="J284" s="30">
        <f ca="1">YEARFRAC(W284,X284,1)</f>
        <v>72.011626598657315</v>
      </c>
      <c r="K284" t="s">
        <v>1153</v>
      </c>
      <c r="L284" s="32">
        <v>7500</v>
      </c>
      <c r="M284" s="27">
        <v>21427700000000</v>
      </c>
      <c r="N284">
        <v>1954</v>
      </c>
      <c r="O284">
        <v>9</v>
      </c>
      <c r="P284">
        <v>28</v>
      </c>
      <c r="Q284">
        <v>117.24</v>
      </c>
      <c r="R284">
        <v>78.5</v>
      </c>
      <c r="S284">
        <v>9.6</v>
      </c>
      <c r="T284">
        <v>36.6</v>
      </c>
      <c r="U284">
        <v>328239523</v>
      </c>
      <c r="V284" s="30"/>
      <c r="W284" s="25">
        <f ca="1">TODAY()</f>
        <v>46297</v>
      </c>
      <c r="X284" s="25">
        <f>DATE(N284,O284,P284)</f>
        <v>19995</v>
      </c>
    </row>
    <row r="285" spans="1:24" x14ac:dyDescent="0.3">
      <c r="A285">
        <v>299</v>
      </c>
      <c r="B285" t="s">
        <v>49</v>
      </c>
      <c r="C285" t="s">
        <v>1154</v>
      </c>
      <c r="D285" t="s">
        <v>32</v>
      </c>
      <c r="E285" t="s">
        <v>61</v>
      </c>
      <c r="F285" t="s">
        <v>802</v>
      </c>
      <c r="G285" t="s">
        <v>49</v>
      </c>
      <c r="H285" t="b">
        <v>1</v>
      </c>
      <c r="I285" t="s">
        <v>1803</v>
      </c>
      <c r="J285" s="30">
        <f ca="1">YEARFRAC(W285,X285,1)</f>
        <v>82.73716849188547</v>
      </c>
      <c r="K285" t="s">
        <v>1113</v>
      </c>
      <c r="L285" s="32">
        <v>7500</v>
      </c>
      <c r="M285" s="27">
        <v>21427700000000</v>
      </c>
      <c r="N285">
        <v>1944</v>
      </c>
      <c r="O285">
        <v>1</v>
      </c>
      <c r="P285">
        <v>6</v>
      </c>
      <c r="Q285">
        <v>117.24</v>
      </c>
      <c r="R285">
        <v>78.5</v>
      </c>
      <c r="S285">
        <v>9.6</v>
      </c>
      <c r="T285">
        <v>36.6</v>
      </c>
      <c r="U285">
        <v>328239523</v>
      </c>
      <c r="V285" s="30"/>
      <c r="W285" s="25">
        <f ca="1">TODAY()</f>
        <v>46297</v>
      </c>
      <c r="X285" s="25">
        <f>DATE(N285,O285,P285)</f>
        <v>16077</v>
      </c>
    </row>
    <row r="286" spans="1:24" x14ac:dyDescent="0.3">
      <c r="A286">
        <v>299</v>
      </c>
      <c r="B286" t="s">
        <v>103</v>
      </c>
      <c r="C286" t="s">
        <v>1156</v>
      </c>
      <c r="D286" t="s">
        <v>555</v>
      </c>
      <c r="E286" t="s">
        <v>555</v>
      </c>
      <c r="F286" t="s">
        <v>1157</v>
      </c>
      <c r="G286" t="s">
        <v>103</v>
      </c>
      <c r="H286" t="b">
        <v>1</v>
      </c>
      <c r="I286" t="s">
        <v>1803</v>
      </c>
      <c r="J286" s="30">
        <f ca="1">YEARFRAC(W286,X286,1)</f>
        <v>56.255295643402661</v>
      </c>
      <c r="K286" t="s">
        <v>1158</v>
      </c>
      <c r="L286" s="32">
        <v>7500</v>
      </c>
      <c r="M286" s="27">
        <v>372062527489</v>
      </c>
      <c r="N286">
        <v>1970</v>
      </c>
      <c r="O286">
        <v>7</v>
      </c>
      <c r="P286">
        <v>1</v>
      </c>
      <c r="Q286">
        <v>114.41</v>
      </c>
      <c r="R286">
        <v>83.1</v>
      </c>
      <c r="S286">
        <v>13.1</v>
      </c>
      <c r="T286">
        <v>21</v>
      </c>
      <c r="U286">
        <v>5703569</v>
      </c>
      <c r="V286" s="30"/>
      <c r="W286" s="25">
        <f ca="1">TODAY()</f>
        <v>46297</v>
      </c>
      <c r="X286" s="25">
        <f>DATE(N286,O286,P286)</f>
        <v>25750</v>
      </c>
    </row>
    <row r="287" spans="1:24" x14ac:dyDescent="0.3">
      <c r="A287">
        <v>305</v>
      </c>
      <c r="B287" t="s">
        <v>38</v>
      </c>
      <c r="C287" t="s">
        <v>1159</v>
      </c>
      <c r="D287" t="s">
        <v>32</v>
      </c>
      <c r="E287" t="s">
        <v>1160</v>
      </c>
      <c r="F287" t="s">
        <v>731</v>
      </c>
      <c r="G287" t="s">
        <v>38</v>
      </c>
      <c r="H287" t="b">
        <v>1</v>
      </c>
      <c r="I287" t="s">
        <v>1803</v>
      </c>
      <c r="J287" s="30">
        <f ca="1">YEARFRAC(W287,X287,1)</f>
        <v>83.737166324435321</v>
      </c>
      <c r="K287" t="s">
        <v>350</v>
      </c>
      <c r="L287" s="32">
        <v>7400</v>
      </c>
      <c r="M287" s="27">
        <v>21427700000000</v>
      </c>
      <c r="N287">
        <v>1943</v>
      </c>
      <c r="O287">
        <v>1</v>
      </c>
      <c r="P287">
        <v>6</v>
      </c>
      <c r="Q287">
        <v>117.24</v>
      </c>
      <c r="R287">
        <v>78.5</v>
      </c>
      <c r="S287">
        <v>9.6</v>
      </c>
      <c r="T287">
        <v>36.6</v>
      </c>
      <c r="U287">
        <v>328239523</v>
      </c>
      <c r="V287" s="30"/>
      <c r="W287" s="25">
        <f ca="1">TODAY()</f>
        <v>46297</v>
      </c>
      <c r="X287" s="25">
        <f>DATE(N287,O287,P287)</f>
        <v>15712</v>
      </c>
    </row>
    <row r="288" spans="1:24" x14ac:dyDescent="0.3">
      <c r="A288">
        <v>305</v>
      </c>
      <c r="B288" t="s">
        <v>250</v>
      </c>
      <c r="C288" t="s">
        <v>1162</v>
      </c>
      <c r="D288" t="s">
        <v>226</v>
      </c>
      <c r="E288" t="s">
        <v>227</v>
      </c>
      <c r="F288" t="s">
        <v>1089</v>
      </c>
      <c r="G288" t="s">
        <v>250</v>
      </c>
      <c r="H288" t="b">
        <v>0</v>
      </c>
      <c r="I288" t="s">
        <v>1803</v>
      </c>
      <c r="J288" s="30">
        <f ca="1">YEARFRAC(W288,X288,1)</f>
        <v>74.140322698401107</v>
      </c>
      <c r="K288" t="s">
        <v>1164</v>
      </c>
      <c r="L288" s="32">
        <v>7400</v>
      </c>
      <c r="M288" s="27">
        <v>2827113184696</v>
      </c>
      <c r="N288">
        <v>1952</v>
      </c>
      <c r="O288">
        <v>8</v>
      </c>
      <c r="P288">
        <v>11</v>
      </c>
      <c r="Q288">
        <v>119.62</v>
      </c>
      <c r="R288">
        <v>81.3</v>
      </c>
      <c r="S288">
        <v>25.5</v>
      </c>
      <c r="T288">
        <v>30.6</v>
      </c>
      <c r="U288">
        <v>66834405</v>
      </c>
      <c r="V288" s="30"/>
      <c r="W288" s="25">
        <f ca="1">TODAY()</f>
        <v>46297</v>
      </c>
      <c r="X288" s="25">
        <f>DATE(N288,O288,P288)</f>
        <v>19217</v>
      </c>
    </row>
    <row r="289" spans="1:24" x14ac:dyDescent="0.3">
      <c r="A289">
        <v>305</v>
      </c>
      <c r="B289" t="s">
        <v>21</v>
      </c>
      <c r="C289" t="s">
        <v>1165</v>
      </c>
      <c r="D289" t="s">
        <v>105</v>
      </c>
      <c r="E289" t="s">
        <v>827</v>
      </c>
      <c r="F289" t="s">
        <v>1166</v>
      </c>
      <c r="G289" t="s">
        <v>21</v>
      </c>
      <c r="H289" t="b">
        <v>1</v>
      </c>
      <c r="I289" t="s">
        <v>1803</v>
      </c>
      <c r="J289" s="30">
        <f ca="1">YEARFRAC(W289,X289,1)</f>
        <v>62.750858285167965</v>
      </c>
      <c r="K289" t="s">
        <v>1167</v>
      </c>
      <c r="L289" s="32">
        <v>7400</v>
      </c>
      <c r="M289" s="27">
        <v>19910000000000</v>
      </c>
      <c r="N289">
        <v>1964</v>
      </c>
      <c r="O289">
        <v>1</v>
      </c>
      <c r="P289">
        <v>1</v>
      </c>
      <c r="Q289">
        <v>125.08</v>
      </c>
      <c r="R289">
        <v>77</v>
      </c>
      <c r="S289">
        <v>9.4</v>
      </c>
      <c r="T289">
        <v>59.2</v>
      </c>
      <c r="U289">
        <v>1397715000</v>
      </c>
      <c r="V289" s="30"/>
      <c r="W289" s="25">
        <f ca="1">TODAY()</f>
        <v>46297</v>
      </c>
      <c r="X289" s="25">
        <f>DATE(N289,O289,P289)</f>
        <v>23377</v>
      </c>
    </row>
    <row r="290" spans="1:24" x14ac:dyDescent="0.3">
      <c r="A290">
        <v>305</v>
      </c>
      <c r="B290" t="s">
        <v>462</v>
      </c>
      <c r="C290" t="s">
        <v>1168</v>
      </c>
      <c r="D290" t="s">
        <v>555</v>
      </c>
      <c r="E290" t="s">
        <v>555</v>
      </c>
      <c r="F290" t="s">
        <v>465</v>
      </c>
      <c r="G290" t="s">
        <v>462</v>
      </c>
      <c r="H290" t="b">
        <v>0</v>
      </c>
      <c r="I290" t="s">
        <v>1803</v>
      </c>
      <c r="J290" s="30">
        <f ca="1">YEARFRAC(W290,X290,1)</f>
        <v>74.750857852084394</v>
      </c>
      <c r="K290" t="s">
        <v>524</v>
      </c>
      <c r="L290" s="32">
        <v>7400</v>
      </c>
      <c r="M290" s="27">
        <v>372062527489</v>
      </c>
      <c r="N290">
        <v>1952</v>
      </c>
      <c r="O290">
        <v>1</v>
      </c>
      <c r="P290">
        <v>1</v>
      </c>
      <c r="Q290">
        <v>114.41</v>
      </c>
      <c r="R290">
        <v>83.1</v>
      </c>
      <c r="S290">
        <v>13.1</v>
      </c>
      <c r="T290">
        <v>21</v>
      </c>
      <c r="U290">
        <v>5703569</v>
      </c>
      <c r="V290" s="30"/>
      <c r="W290" s="25">
        <f ca="1">TODAY()</f>
        <v>46297</v>
      </c>
      <c r="X290" s="25">
        <f>DATE(N290,O290,P290)</f>
        <v>18994</v>
      </c>
    </row>
    <row r="291" spans="1:24" x14ac:dyDescent="0.3">
      <c r="A291">
        <v>305</v>
      </c>
      <c r="B291" t="s">
        <v>250</v>
      </c>
      <c r="C291" t="s">
        <v>1169</v>
      </c>
      <c r="D291" t="s">
        <v>32</v>
      </c>
      <c r="E291" t="s">
        <v>1170</v>
      </c>
      <c r="F291" t="s">
        <v>1171</v>
      </c>
      <c r="G291" t="s">
        <v>250</v>
      </c>
      <c r="H291" t="b">
        <v>1</v>
      </c>
      <c r="I291" t="s">
        <v>1803</v>
      </c>
      <c r="J291" s="30">
        <f ca="1">YEARFRAC(W291,X291,1)</f>
        <v>75.507186858316217</v>
      </c>
      <c r="K291" t="s">
        <v>1173</v>
      </c>
      <c r="L291" s="32">
        <v>7400</v>
      </c>
      <c r="M291" s="27">
        <v>21427700000000</v>
      </c>
      <c r="N291">
        <v>1951</v>
      </c>
      <c r="O291">
        <v>3</v>
      </c>
      <c r="P291">
        <v>31</v>
      </c>
      <c r="Q291">
        <v>117.24</v>
      </c>
      <c r="R291">
        <v>78.5</v>
      </c>
      <c r="S291">
        <v>9.6</v>
      </c>
      <c r="T291">
        <v>36.6</v>
      </c>
      <c r="U291">
        <v>328239523</v>
      </c>
      <c r="V291" s="30"/>
      <c r="W291" s="25">
        <f ca="1">TODAY()</f>
        <v>46297</v>
      </c>
      <c r="X291" s="25">
        <f>DATE(N291,O291,P291)</f>
        <v>18718</v>
      </c>
    </row>
    <row r="292" spans="1:24" x14ac:dyDescent="0.3">
      <c r="A292">
        <v>305</v>
      </c>
      <c r="B292" t="s">
        <v>580</v>
      </c>
      <c r="C292" t="s">
        <v>1174</v>
      </c>
      <c r="D292" t="s">
        <v>1175</v>
      </c>
      <c r="E292" t="s">
        <v>1176</v>
      </c>
      <c r="F292" t="s">
        <v>1177</v>
      </c>
      <c r="G292" t="s">
        <v>580</v>
      </c>
      <c r="H292" t="b">
        <v>0</v>
      </c>
      <c r="I292" t="s">
        <v>1803</v>
      </c>
      <c r="J292" s="30">
        <f ca="1">YEARFRAC(W292,X292,1)</f>
        <v>65.70156807433834</v>
      </c>
      <c r="K292" t="s">
        <v>1179</v>
      </c>
      <c r="L292" s="32">
        <v>7400</v>
      </c>
      <c r="M292" s="27">
        <v>303175127598</v>
      </c>
      <c r="N292">
        <v>1961</v>
      </c>
      <c r="O292">
        <v>1</v>
      </c>
      <c r="P292">
        <v>19</v>
      </c>
      <c r="Q292">
        <v>288.57</v>
      </c>
      <c r="R292">
        <v>71.8</v>
      </c>
      <c r="S292">
        <v>12.5</v>
      </c>
      <c r="T292">
        <v>44.4</v>
      </c>
      <c r="U292">
        <v>100388073</v>
      </c>
      <c r="V292" s="30"/>
      <c r="W292" s="25">
        <f ca="1">TODAY()</f>
        <v>46297</v>
      </c>
      <c r="X292" s="25">
        <f>DATE(N292,O292,P292)</f>
        <v>22300</v>
      </c>
    </row>
    <row r="293" spans="1:24" x14ac:dyDescent="0.3">
      <c r="A293">
        <v>305</v>
      </c>
      <c r="B293" t="s">
        <v>103</v>
      </c>
      <c r="C293" t="s">
        <v>1181</v>
      </c>
      <c r="D293" t="s">
        <v>32</v>
      </c>
      <c r="E293" t="s">
        <v>1182</v>
      </c>
      <c r="F293" t="s">
        <v>1183</v>
      </c>
      <c r="G293" t="s">
        <v>103</v>
      </c>
      <c r="H293" t="b">
        <v>1</v>
      </c>
      <c r="I293" t="s">
        <v>1803</v>
      </c>
      <c r="J293" s="30">
        <f ca="1">YEARFRAC(W293,X293,1)</f>
        <v>84.839132787876864</v>
      </c>
      <c r="K293" t="s">
        <v>609</v>
      </c>
      <c r="L293" s="32">
        <v>7400</v>
      </c>
      <c r="M293" s="27">
        <v>21427700000000</v>
      </c>
      <c r="N293">
        <v>1941</v>
      </c>
      <c r="O293">
        <v>11</v>
      </c>
      <c r="P293">
        <v>30</v>
      </c>
      <c r="Q293">
        <v>117.24</v>
      </c>
      <c r="R293">
        <v>78.5</v>
      </c>
      <c r="S293">
        <v>9.6</v>
      </c>
      <c r="T293">
        <v>36.6</v>
      </c>
      <c r="U293">
        <v>328239523</v>
      </c>
      <c r="V293" s="30"/>
      <c r="W293" s="25">
        <f ca="1">TODAY()</f>
        <v>46297</v>
      </c>
      <c r="X293" s="25">
        <f>DATE(N293,O293,P293)</f>
        <v>15310</v>
      </c>
    </row>
    <row r="294" spans="1:24" x14ac:dyDescent="0.3">
      <c r="A294">
        <v>312</v>
      </c>
      <c r="B294" t="s">
        <v>250</v>
      </c>
      <c r="C294" t="s">
        <v>1185</v>
      </c>
      <c r="D294" t="s">
        <v>74</v>
      </c>
      <c r="E294" t="s">
        <v>1186</v>
      </c>
      <c r="F294" t="s">
        <v>1187</v>
      </c>
      <c r="G294" t="s">
        <v>250</v>
      </c>
      <c r="H294" t="b">
        <v>0</v>
      </c>
      <c r="I294" t="s">
        <v>1803</v>
      </c>
      <c r="J294" s="30">
        <f ca="1">YEARFRAC(W294,X294,1)</f>
        <v>95.337440109514034</v>
      </c>
      <c r="K294" t="s">
        <v>1189</v>
      </c>
      <c r="L294" s="32">
        <v>7300</v>
      </c>
      <c r="M294" s="27">
        <v>2611000000000</v>
      </c>
      <c r="N294">
        <v>1931</v>
      </c>
      <c r="O294">
        <v>6</v>
      </c>
      <c r="P294">
        <v>1</v>
      </c>
      <c r="Q294">
        <v>180.44</v>
      </c>
      <c r="R294">
        <v>69.400000000000006</v>
      </c>
      <c r="S294">
        <v>11.2</v>
      </c>
      <c r="T294">
        <v>49.7</v>
      </c>
      <c r="U294">
        <v>1366417754</v>
      </c>
      <c r="V294" s="30"/>
      <c r="W294" s="25">
        <f ca="1">TODAY()</f>
        <v>46297</v>
      </c>
      <c r="X294" s="25">
        <f>DATE(N294,O294,P294)</f>
        <v>11475</v>
      </c>
    </row>
    <row r="295" spans="1:24" x14ac:dyDescent="0.3">
      <c r="A295">
        <v>312</v>
      </c>
      <c r="B295" t="s">
        <v>272</v>
      </c>
      <c r="C295" t="s">
        <v>1190</v>
      </c>
      <c r="D295" t="s">
        <v>327</v>
      </c>
      <c r="E295" t="s">
        <v>328</v>
      </c>
      <c r="F295" t="s">
        <v>1191</v>
      </c>
      <c r="G295" t="s">
        <v>272</v>
      </c>
      <c r="H295" t="b">
        <v>1</v>
      </c>
      <c r="I295" t="s">
        <v>1803</v>
      </c>
      <c r="J295" s="30">
        <f ca="1">YEARFRAC(W295,X295,1)</f>
        <v>62.82546201232033</v>
      </c>
      <c r="K295" t="s">
        <v>1193</v>
      </c>
      <c r="L295" s="32">
        <v>7300</v>
      </c>
      <c r="M295" s="27">
        <v>1699876578871</v>
      </c>
      <c r="N295">
        <v>1963</v>
      </c>
      <c r="O295">
        <v>12</v>
      </c>
      <c r="P295">
        <v>5</v>
      </c>
      <c r="Q295">
        <v>180.75</v>
      </c>
      <c r="R295">
        <v>72.7</v>
      </c>
      <c r="S295">
        <v>11.4</v>
      </c>
      <c r="T295">
        <v>46.2</v>
      </c>
      <c r="U295">
        <v>144373535</v>
      </c>
      <c r="V295" s="30"/>
      <c r="W295" s="25">
        <f ca="1">TODAY()</f>
        <v>46297</v>
      </c>
      <c r="X295" s="25">
        <f>DATE(N295,O295,P295)</f>
        <v>23350</v>
      </c>
    </row>
    <row r="296" spans="1:24" x14ac:dyDescent="0.3">
      <c r="A296">
        <v>312</v>
      </c>
      <c r="B296" t="s">
        <v>21</v>
      </c>
      <c r="C296" t="s">
        <v>1194</v>
      </c>
      <c r="D296" t="s">
        <v>1195</v>
      </c>
      <c r="E296" t="s">
        <v>1196</v>
      </c>
      <c r="F296" t="s">
        <v>221</v>
      </c>
      <c r="G296" t="s">
        <v>21</v>
      </c>
      <c r="H296" t="b">
        <v>0</v>
      </c>
      <c r="I296" t="s">
        <v>1803</v>
      </c>
      <c r="J296" s="30">
        <f ca="1">YEARFRAC(W296,X296,1)</f>
        <v>53.907611130469412</v>
      </c>
      <c r="K296" t="s">
        <v>1198</v>
      </c>
      <c r="L296" s="32">
        <v>7300</v>
      </c>
      <c r="M296" s="27">
        <v>348078018464</v>
      </c>
      <c r="N296">
        <v>1972</v>
      </c>
      <c r="O296">
        <v>11</v>
      </c>
      <c r="P296">
        <v>4</v>
      </c>
      <c r="Q296">
        <v>110.35</v>
      </c>
      <c r="R296">
        <v>81</v>
      </c>
      <c r="S296">
        <v>32.4</v>
      </c>
      <c r="T296">
        <v>23.8</v>
      </c>
      <c r="U296">
        <v>5818553</v>
      </c>
      <c r="V296" s="30"/>
      <c r="W296" s="25">
        <f ca="1">TODAY()</f>
        <v>46297</v>
      </c>
      <c r="X296" s="25">
        <f>DATE(N296,O296,P296)</f>
        <v>26607</v>
      </c>
    </row>
    <row r="297" spans="1:24" x14ac:dyDescent="0.3">
      <c r="A297">
        <v>312</v>
      </c>
      <c r="B297" t="s">
        <v>168</v>
      </c>
      <c r="C297" t="s">
        <v>1200</v>
      </c>
      <c r="D297" t="s">
        <v>967</v>
      </c>
      <c r="E297" t="s">
        <v>968</v>
      </c>
      <c r="F297" t="s">
        <v>1201</v>
      </c>
      <c r="G297" t="s">
        <v>168</v>
      </c>
      <c r="H297" t="b">
        <v>0</v>
      </c>
      <c r="I297" t="s">
        <v>1803</v>
      </c>
      <c r="J297" s="30">
        <f ca="1">YEARFRAC(W297,X297,1)</f>
        <v>66.581113108859114</v>
      </c>
      <c r="K297" t="s">
        <v>1203</v>
      </c>
      <c r="L297" s="32">
        <v>7300</v>
      </c>
      <c r="M297" s="27">
        <v>376795508680</v>
      </c>
      <c r="N297">
        <v>1960</v>
      </c>
      <c r="O297">
        <v>3</v>
      </c>
      <c r="P297">
        <v>3</v>
      </c>
      <c r="Q297">
        <v>129.61000000000001</v>
      </c>
      <c r="R297">
        <v>71.099999999999994</v>
      </c>
      <c r="S297">
        <v>14</v>
      </c>
      <c r="T297">
        <v>43.1</v>
      </c>
      <c r="U297">
        <v>108116615</v>
      </c>
      <c r="V297" s="30"/>
      <c r="W297" s="25">
        <f ca="1">TODAY()</f>
        <v>46297</v>
      </c>
      <c r="X297" s="25">
        <f>DATE(N297,O297,P297)</f>
        <v>21978</v>
      </c>
    </row>
    <row r="298" spans="1:24" x14ac:dyDescent="0.3">
      <c r="A298">
        <v>312</v>
      </c>
      <c r="B298" t="s">
        <v>38</v>
      </c>
      <c r="C298" t="s">
        <v>1204</v>
      </c>
      <c r="D298" t="s">
        <v>105</v>
      </c>
      <c r="E298" t="s">
        <v>192</v>
      </c>
      <c r="F298" t="s">
        <v>1205</v>
      </c>
      <c r="G298" t="s">
        <v>38</v>
      </c>
      <c r="H298" t="b">
        <v>1</v>
      </c>
      <c r="I298" t="s">
        <v>1804</v>
      </c>
      <c r="J298" s="30">
        <f ca="1">YEARFRAC(W298,X298,1)</f>
        <v>59.331964407939765</v>
      </c>
      <c r="K298" t="s">
        <v>1206</v>
      </c>
      <c r="L298" s="32">
        <v>7300</v>
      </c>
      <c r="M298" s="27">
        <v>19910000000000</v>
      </c>
      <c r="N298">
        <v>1967</v>
      </c>
      <c r="O298">
        <v>6</v>
      </c>
      <c r="P298">
        <v>3</v>
      </c>
      <c r="Q298">
        <v>125.08</v>
      </c>
      <c r="R298">
        <v>77</v>
      </c>
      <c r="S298">
        <v>9.4</v>
      </c>
      <c r="T298">
        <v>59.2</v>
      </c>
      <c r="U298">
        <v>1397715000</v>
      </c>
      <c r="V298" s="30"/>
      <c r="W298" s="25">
        <f ca="1">TODAY()</f>
        <v>46297</v>
      </c>
      <c r="X298" s="25">
        <f>DATE(N298,O298,P298)</f>
        <v>24626</v>
      </c>
    </row>
    <row r="299" spans="1:24" x14ac:dyDescent="0.3">
      <c r="A299">
        <v>317</v>
      </c>
      <c r="B299" t="s">
        <v>49</v>
      </c>
      <c r="C299" t="s">
        <v>1207</v>
      </c>
      <c r="D299" t="s">
        <v>32</v>
      </c>
      <c r="E299" t="s">
        <v>1208</v>
      </c>
      <c r="F299" t="s">
        <v>258</v>
      </c>
      <c r="G299" t="s">
        <v>49</v>
      </c>
      <c r="H299" t="b">
        <v>1</v>
      </c>
      <c r="I299" t="s">
        <v>1803</v>
      </c>
      <c r="J299" s="30">
        <f ca="1">YEARFRAC(W299,X299,1)</f>
        <v>68.852818085813752</v>
      </c>
      <c r="K299" t="s">
        <v>1145</v>
      </c>
      <c r="L299" s="32">
        <v>7200</v>
      </c>
      <c r="M299" s="27">
        <v>21427700000000</v>
      </c>
      <c r="N299">
        <v>1957</v>
      </c>
      <c r="O299">
        <v>11</v>
      </c>
      <c r="P299">
        <v>25</v>
      </c>
      <c r="Q299">
        <v>117.24</v>
      </c>
      <c r="R299">
        <v>78.5</v>
      </c>
      <c r="S299">
        <v>9.6</v>
      </c>
      <c r="T299">
        <v>36.6</v>
      </c>
      <c r="U299">
        <v>328239523</v>
      </c>
      <c r="V299" s="30"/>
      <c r="W299" s="25">
        <f ca="1">TODAY()</f>
        <v>46297</v>
      </c>
      <c r="X299" s="25">
        <f>DATE(N299,O299,P299)</f>
        <v>21149</v>
      </c>
    </row>
    <row r="300" spans="1:24" x14ac:dyDescent="0.3">
      <c r="A300">
        <v>317</v>
      </c>
      <c r="B300" t="s">
        <v>462</v>
      </c>
      <c r="C300" t="s">
        <v>1210</v>
      </c>
      <c r="D300" t="s">
        <v>32</v>
      </c>
      <c r="E300" t="s">
        <v>301</v>
      </c>
      <c r="F300" t="s">
        <v>1211</v>
      </c>
      <c r="G300" t="s">
        <v>462</v>
      </c>
      <c r="H300" t="b">
        <v>1</v>
      </c>
      <c r="I300" t="s">
        <v>1803</v>
      </c>
      <c r="J300" s="30">
        <f ca="1">YEARFRAC(W300,X300,1)</f>
        <v>71.811761617222373</v>
      </c>
      <c r="K300" t="s">
        <v>43</v>
      </c>
      <c r="L300" s="32">
        <v>7200</v>
      </c>
      <c r="M300" s="27">
        <v>21427700000000</v>
      </c>
      <c r="N300">
        <v>1954</v>
      </c>
      <c r="O300">
        <v>12</v>
      </c>
      <c r="P300">
        <v>10</v>
      </c>
      <c r="Q300">
        <v>117.24</v>
      </c>
      <c r="R300">
        <v>78.5</v>
      </c>
      <c r="S300">
        <v>9.6</v>
      </c>
      <c r="T300">
        <v>36.6</v>
      </c>
      <c r="U300">
        <v>328239523</v>
      </c>
      <c r="V300" s="30"/>
      <c r="W300" s="25">
        <f ca="1">TODAY()</f>
        <v>46297</v>
      </c>
      <c r="X300" s="25">
        <f>DATE(N300,O300,P300)</f>
        <v>20068</v>
      </c>
    </row>
    <row r="301" spans="1:24" x14ac:dyDescent="0.3">
      <c r="A301">
        <v>317</v>
      </c>
      <c r="B301" t="s">
        <v>49</v>
      </c>
      <c r="C301" t="s">
        <v>1213</v>
      </c>
      <c r="D301" t="s">
        <v>32</v>
      </c>
      <c r="E301" t="s">
        <v>1214</v>
      </c>
      <c r="F301" t="s">
        <v>1215</v>
      </c>
      <c r="G301" t="s">
        <v>49</v>
      </c>
      <c r="H301" t="b">
        <v>1</v>
      </c>
      <c r="I301" t="s">
        <v>1803</v>
      </c>
      <c r="J301" s="30">
        <f ca="1">YEARFRAC(W301,X301,1)</f>
        <v>83.304585900068446</v>
      </c>
      <c r="K301" t="s">
        <v>1217</v>
      </c>
      <c r="L301" s="32">
        <v>7200</v>
      </c>
      <c r="M301" s="27">
        <v>21427700000000</v>
      </c>
      <c r="N301">
        <v>1943</v>
      </c>
      <c r="O301">
        <v>6</v>
      </c>
      <c r="P301">
        <v>13</v>
      </c>
      <c r="Q301">
        <v>117.24</v>
      </c>
      <c r="R301">
        <v>78.5</v>
      </c>
      <c r="S301">
        <v>9.6</v>
      </c>
      <c r="T301">
        <v>36.6</v>
      </c>
      <c r="U301">
        <v>328239523</v>
      </c>
      <c r="V301" s="30"/>
      <c r="W301" s="25">
        <f ca="1">TODAY()</f>
        <v>46297</v>
      </c>
      <c r="X301" s="25">
        <f>DATE(N301,O301,P301)</f>
        <v>15870</v>
      </c>
    </row>
    <row r="302" spans="1:24" x14ac:dyDescent="0.3">
      <c r="A302">
        <v>317</v>
      </c>
      <c r="B302" t="s">
        <v>292</v>
      </c>
      <c r="C302" t="s">
        <v>1218</v>
      </c>
      <c r="D302" t="s">
        <v>32</v>
      </c>
      <c r="E302" t="s">
        <v>742</v>
      </c>
      <c r="F302" t="s">
        <v>1219</v>
      </c>
      <c r="G302" t="s">
        <v>292</v>
      </c>
      <c r="H302" t="b">
        <v>1</v>
      </c>
      <c r="I302" t="s">
        <v>1803</v>
      </c>
      <c r="J302" s="30">
        <f ca="1">YEARFRAC(W302,X302,1)</f>
        <v>81.951411795751412</v>
      </c>
      <c r="K302" t="s">
        <v>925</v>
      </c>
      <c r="L302" s="32">
        <v>7200</v>
      </c>
      <c r="M302" s="27">
        <v>21427700000000</v>
      </c>
      <c r="N302">
        <v>1944</v>
      </c>
      <c r="O302">
        <v>10</v>
      </c>
      <c r="P302">
        <v>19</v>
      </c>
      <c r="Q302">
        <v>117.24</v>
      </c>
      <c r="R302">
        <v>78.5</v>
      </c>
      <c r="S302">
        <v>9.6</v>
      </c>
      <c r="T302">
        <v>36.6</v>
      </c>
      <c r="U302">
        <v>328239523</v>
      </c>
      <c r="V302" s="30"/>
      <c r="W302" s="25">
        <f ca="1">TODAY()</f>
        <v>46297</v>
      </c>
      <c r="X302" s="25">
        <f>DATE(N302,O302,P302)</f>
        <v>16364</v>
      </c>
    </row>
    <row r="303" spans="1:24" x14ac:dyDescent="0.3">
      <c r="A303">
        <v>317</v>
      </c>
      <c r="B303" t="s">
        <v>49</v>
      </c>
      <c r="C303" t="s">
        <v>1221</v>
      </c>
      <c r="D303" t="s">
        <v>306</v>
      </c>
      <c r="E303" t="s">
        <v>645</v>
      </c>
      <c r="F303" t="s">
        <v>1222</v>
      </c>
      <c r="G303" t="s">
        <v>49</v>
      </c>
      <c r="H303" t="b">
        <v>1</v>
      </c>
      <c r="I303" t="s">
        <v>1803</v>
      </c>
      <c r="J303" s="30">
        <f ca="1">YEARFRAC(W303,X303,1)</f>
        <v>45.132075471698109</v>
      </c>
      <c r="K303" t="s">
        <v>1224</v>
      </c>
      <c r="L303" s="32">
        <v>7200</v>
      </c>
      <c r="M303" s="27">
        <v>421142267938</v>
      </c>
      <c r="N303">
        <v>1981</v>
      </c>
      <c r="O303">
        <v>8</v>
      </c>
      <c r="P303">
        <v>15</v>
      </c>
      <c r="Q303">
        <v>114.52</v>
      </c>
      <c r="R303">
        <v>77.8</v>
      </c>
      <c r="S303">
        <v>0.1</v>
      </c>
      <c r="T303">
        <v>15.9</v>
      </c>
      <c r="U303">
        <v>9770529</v>
      </c>
      <c r="V303" s="30"/>
      <c r="W303" s="25">
        <f ca="1">TODAY()</f>
        <v>46297</v>
      </c>
      <c r="X303" s="25">
        <f>DATE(N303,O303,P303)</f>
        <v>29813</v>
      </c>
    </row>
    <row r="304" spans="1:24" x14ac:dyDescent="0.3">
      <c r="A304">
        <v>317</v>
      </c>
      <c r="B304" t="s">
        <v>21</v>
      </c>
      <c r="C304" t="s">
        <v>1225</v>
      </c>
      <c r="D304" t="s">
        <v>219</v>
      </c>
      <c r="E304" t="s">
        <v>220</v>
      </c>
      <c r="F304" t="s">
        <v>1226</v>
      </c>
      <c r="G304" t="s">
        <v>21</v>
      </c>
      <c r="H304" t="b">
        <v>0</v>
      </c>
      <c r="I304" t="s">
        <v>1803</v>
      </c>
      <c r="J304" s="30">
        <f ca="1">YEARFRAC(W304,X304,1)</f>
        <v>65.225172156309625</v>
      </c>
      <c r="K304" t="s">
        <v>1228</v>
      </c>
      <c r="L304" s="32">
        <v>7200</v>
      </c>
      <c r="M304" s="27">
        <v>5081769542380</v>
      </c>
      <c r="N304">
        <v>1961</v>
      </c>
      <c r="O304">
        <v>7</v>
      </c>
      <c r="P304">
        <v>12</v>
      </c>
      <c r="Q304">
        <v>105.48</v>
      </c>
      <c r="R304">
        <v>84.2</v>
      </c>
      <c r="S304">
        <v>11.9</v>
      </c>
      <c r="T304">
        <v>46.7</v>
      </c>
      <c r="U304">
        <v>126226568</v>
      </c>
      <c r="V304" s="30"/>
      <c r="W304" s="25">
        <f ca="1">TODAY()</f>
        <v>46297</v>
      </c>
      <c r="X304" s="25">
        <f>DATE(N304,O304,P304)</f>
        <v>22474</v>
      </c>
    </row>
    <row r="305" spans="1:24" x14ac:dyDescent="0.3">
      <c r="A305">
        <v>317</v>
      </c>
      <c r="B305" t="s">
        <v>103</v>
      </c>
      <c r="C305" t="s">
        <v>1229</v>
      </c>
      <c r="D305" t="s">
        <v>105</v>
      </c>
      <c r="E305" t="s">
        <v>106</v>
      </c>
      <c r="F305" t="s">
        <v>1230</v>
      </c>
      <c r="G305" t="s">
        <v>103</v>
      </c>
      <c r="H305" t="b">
        <v>1</v>
      </c>
      <c r="I305" t="s">
        <v>1803</v>
      </c>
      <c r="J305" s="30">
        <f ca="1">YEARFRAC(W305,X305,1)</f>
        <v>81.003405676126874</v>
      </c>
      <c r="K305" t="s">
        <v>1232</v>
      </c>
      <c r="L305" s="32">
        <v>7200</v>
      </c>
      <c r="M305" s="27">
        <v>19910000000000</v>
      </c>
      <c r="N305">
        <v>1945</v>
      </c>
      <c r="O305">
        <v>10</v>
      </c>
      <c r="P305">
        <v>1</v>
      </c>
      <c r="Q305">
        <v>125.08</v>
      </c>
      <c r="R305">
        <v>77</v>
      </c>
      <c r="S305">
        <v>9.4</v>
      </c>
      <c r="T305">
        <v>59.2</v>
      </c>
      <c r="U305">
        <v>1397715000</v>
      </c>
      <c r="V305" s="30"/>
      <c r="W305" s="25">
        <f ca="1">TODAY()</f>
        <v>46297</v>
      </c>
      <c r="X305" s="25">
        <f>DATE(N305,O305,P305)</f>
        <v>16711</v>
      </c>
    </row>
    <row r="306" spans="1:24" x14ac:dyDescent="0.3">
      <c r="A306">
        <v>325</v>
      </c>
      <c r="B306" t="s">
        <v>38</v>
      </c>
      <c r="C306" t="s">
        <v>1233</v>
      </c>
      <c r="D306" t="s">
        <v>32</v>
      </c>
      <c r="E306" t="s">
        <v>1234</v>
      </c>
      <c r="F306" t="s">
        <v>1235</v>
      </c>
      <c r="G306" t="s">
        <v>38</v>
      </c>
      <c r="H306" t="b">
        <v>1</v>
      </c>
      <c r="I306" t="s">
        <v>1804</v>
      </c>
      <c r="J306" s="30">
        <f ca="1">YEARFRAC(W306,X306,1)</f>
        <v>83.170431211498979</v>
      </c>
      <c r="K306" t="s">
        <v>700</v>
      </c>
      <c r="L306" s="32">
        <v>7100</v>
      </c>
      <c r="M306" s="27">
        <v>21427700000000</v>
      </c>
      <c r="N306">
        <v>1943</v>
      </c>
      <c r="O306">
        <v>8</v>
      </c>
      <c r="P306">
        <v>1</v>
      </c>
      <c r="Q306">
        <v>117.24</v>
      </c>
      <c r="R306">
        <v>78.5</v>
      </c>
      <c r="S306">
        <v>9.6</v>
      </c>
      <c r="T306">
        <v>36.6</v>
      </c>
      <c r="U306">
        <v>328239523</v>
      </c>
      <c r="V306" s="30"/>
      <c r="W306" s="25">
        <f ca="1">TODAY()</f>
        <v>46297</v>
      </c>
      <c r="X306" s="25">
        <f>DATE(N306,O306,P306)</f>
        <v>15919</v>
      </c>
    </row>
    <row r="307" spans="1:24" x14ac:dyDescent="0.3">
      <c r="A307">
        <v>325</v>
      </c>
      <c r="B307" t="s">
        <v>196</v>
      </c>
      <c r="C307" t="s">
        <v>1237</v>
      </c>
      <c r="D307" t="s">
        <v>208</v>
      </c>
      <c r="E307" t="s">
        <v>1081</v>
      </c>
      <c r="F307" t="s">
        <v>1238</v>
      </c>
      <c r="G307" t="s">
        <v>196</v>
      </c>
      <c r="H307" t="b">
        <v>1</v>
      </c>
      <c r="I307" t="s">
        <v>1803</v>
      </c>
      <c r="J307" s="30">
        <f ca="1">YEARFRAC(W307,X307,1)</f>
        <v>79.745379876796719</v>
      </c>
      <c r="K307" t="s">
        <v>688</v>
      </c>
      <c r="L307" s="32">
        <v>7100</v>
      </c>
      <c r="M307" s="27">
        <v>446314739528</v>
      </c>
      <c r="N307">
        <v>1947</v>
      </c>
      <c r="O307">
        <v>1</v>
      </c>
      <c r="P307">
        <v>3</v>
      </c>
      <c r="Q307">
        <v>118.06</v>
      </c>
      <c r="R307">
        <v>81.599999999999994</v>
      </c>
      <c r="S307">
        <v>25.4</v>
      </c>
      <c r="T307">
        <v>51.4</v>
      </c>
      <c r="U307">
        <v>8877067</v>
      </c>
      <c r="V307" s="30"/>
      <c r="W307" s="25">
        <f ca="1">TODAY()</f>
        <v>46297</v>
      </c>
      <c r="X307" s="25">
        <f>DATE(N307,O307,P307)</f>
        <v>17170</v>
      </c>
    </row>
    <row r="308" spans="1:24" x14ac:dyDescent="0.3">
      <c r="A308">
        <v>325</v>
      </c>
      <c r="B308" t="s">
        <v>381</v>
      </c>
      <c r="C308" t="s">
        <v>1240</v>
      </c>
      <c r="D308" t="s">
        <v>32</v>
      </c>
      <c r="E308" t="s">
        <v>1241</v>
      </c>
      <c r="F308" t="s">
        <v>1242</v>
      </c>
      <c r="G308" t="s">
        <v>381</v>
      </c>
      <c r="H308" t="b">
        <v>0</v>
      </c>
      <c r="I308" t="s">
        <v>1804</v>
      </c>
      <c r="J308" s="30">
        <f ca="1">YEARFRAC(W308,X308,1)</f>
        <v>64.877457894300179</v>
      </c>
      <c r="K308" t="s">
        <v>1244</v>
      </c>
      <c r="L308" s="32">
        <v>7100</v>
      </c>
      <c r="M308" s="27">
        <v>21427700000000</v>
      </c>
      <c r="N308">
        <v>1961</v>
      </c>
      <c r="O308">
        <v>11</v>
      </c>
      <c r="P308">
        <v>16</v>
      </c>
      <c r="Q308">
        <v>117.24</v>
      </c>
      <c r="R308">
        <v>78.5</v>
      </c>
      <c r="S308">
        <v>9.6</v>
      </c>
      <c r="T308">
        <v>36.6</v>
      </c>
      <c r="U308">
        <v>328239523</v>
      </c>
      <c r="V308" s="30"/>
      <c r="W308" s="25">
        <f ca="1">TODAY()</f>
        <v>46297</v>
      </c>
      <c r="X308" s="25">
        <f>DATE(N308,O308,P308)</f>
        <v>22601</v>
      </c>
    </row>
    <row r="309" spans="1:24" x14ac:dyDescent="0.3">
      <c r="A309">
        <v>325</v>
      </c>
      <c r="B309" t="s">
        <v>250</v>
      </c>
      <c r="C309" t="s">
        <v>1245</v>
      </c>
      <c r="D309" t="s">
        <v>105</v>
      </c>
      <c r="E309" t="s">
        <v>575</v>
      </c>
      <c r="F309" t="s">
        <v>1246</v>
      </c>
      <c r="G309" t="s">
        <v>250</v>
      </c>
      <c r="H309" t="b">
        <v>1</v>
      </c>
      <c r="I309" t="s">
        <v>1803</v>
      </c>
      <c r="J309" s="30">
        <f ca="1">YEARFRAC(W309,X309,1)</f>
        <v>69.798095091196544</v>
      </c>
      <c r="K309" t="s">
        <v>1248</v>
      </c>
      <c r="L309" s="32">
        <v>7100</v>
      </c>
      <c r="M309" s="27">
        <v>19910000000000</v>
      </c>
      <c r="N309">
        <v>1956</v>
      </c>
      <c r="O309">
        <v>12</v>
      </c>
      <c r="P309">
        <v>14</v>
      </c>
      <c r="Q309">
        <v>125.08</v>
      </c>
      <c r="R309">
        <v>77</v>
      </c>
      <c r="S309">
        <v>9.4</v>
      </c>
      <c r="T309">
        <v>59.2</v>
      </c>
      <c r="U309">
        <v>1397715000</v>
      </c>
      <c r="V309" s="30"/>
      <c r="W309" s="25">
        <f ca="1">TODAY()</f>
        <v>46297</v>
      </c>
      <c r="X309" s="25">
        <f>DATE(N309,O309,P309)</f>
        <v>20803</v>
      </c>
    </row>
    <row r="310" spans="1:24" x14ac:dyDescent="0.3">
      <c r="A310">
        <v>325</v>
      </c>
      <c r="B310" t="s">
        <v>351</v>
      </c>
      <c r="C310" t="s">
        <v>1249</v>
      </c>
      <c r="D310" t="s">
        <v>170</v>
      </c>
      <c r="E310" t="s">
        <v>1250</v>
      </c>
      <c r="F310" t="s">
        <v>1251</v>
      </c>
      <c r="G310" t="s">
        <v>351</v>
      </c>
      <c r="H310" t="b">
        <v>0</v>
      </c>
      <c r="I310" t="s">
        <v>1803</v>
      </c>
      <c r="J310" s="30">
        <f ca="1">YEARFRAC(W310,X310,1)</f>
        <v>75.924015076091592</v>
      </c>
      <c r="K310" t="s">
        <v>1253</v>
      </c>
      <c r="L310" s="32">
        <v>7100</v>
      </c>
      <c r="M310" s="27">
        <v>703082435360</v>
      </c>
      <c r="N310">
        <v>1950</v>
      </c>
      <c r="O310">
        <v>10</v>
      </c>
      <c r="P310">
        <v>30</v>
      </c>
      <c r="Q310">
        <v>99.55</v>
      </c>
      <c r="R310">
        <v>83.6</v>
      </c>
      <c r="S310">
        <v>10.1</v>
      </c>
      <c r="T310">
        <v>28.8</v>
      </c>
      <c r="U310">
        <v>8574832</v>
      </c>
      <c r="V310" s="30"/>
      <c r="W310" s="25">
        <f ca="1">TODAY()</f>
        <v>46297</v>
      </c>
      <c r="X310" s="25">
        <f>DATE(N310,O310,P310)</f>
        <v>18566</v>
      </c>
    </row>
    <row r="311" spans="1:24" x14ac:dyDescent="0.3">
      <c r="A311">
        <v>325</v>
      </c>
      <c r="B311" t="s">
        <v>49</v>
      </c>
      <c r="C311" t="s">
        <v>1254</v>
      </c>
      <c r="D311" t="s">
        <v>555</v>
      </c>
      <c r="E311" t="s">
        <v>555</v>
      </c>
      <c r="F311" t="s">
        <v>478</v>
      </c>
      <c r="G311" t="s">
        <v>49</v>
      </c>
      <c r="H311" t="b">
        <v>0</v>
      </c>
      <c r="I311" t="s">
        <v>1803</v>
      </c>
      <c r="J311" s="30">
        <f ca="1">YEARFRAC(W311,X311,1)</f>
        <v>97.726211096831875</v>
      </c>
      <c r="K311" t="s">
        <v>1256</v>
      </c>
      <c r="L311" s="32">
        <v>7100</v>
      </c>
      <c r="M311" s="27">
        <v>372062527489</v>
      </c>
      <c r="N311">
        <v>1929</v>
      </c>
      <c r="O311">
        <v>1</v>
      </c>
      <c r="P311">
        <v>10</v>
      </c>
      <c r="Q311">
        <v>114.41</v>
      </c>
      <c r="R311">
        <v>83.1</v>
      </c>
      <c r="S311">
        <v>13.1</v>
      </c>
      <c r="T311">
        <v>21</v>
      </c>
      <c r="U311">
        <v>5703569</v>
      </c>
      <c r="V311" s="30"/>
      <c r="W311" s="25">
        <f ca="1">TODAY()</f>
        <v>46297</v>
      </c>
      <c r="X311" s="25">
        <f>DATE(N311,O311,P311)</f>
        <v>10603</v>
      </c>
    </row>
    <row r="312" spans="1:24" x14ac:dyDescent="0.3">
      <c r="A312">
        <v>325</v>
      </c>
      <c r="B312" t="s">
        <v>250</v>
      </c>
      <c r="C312" t="s">
        <v>1257</v>
      </c>
      <c r="D312" t="s">
        <v>105</v>
      </c>
      <c r="E312" t="s">
        <v>827</v>
      </c>
      <c r="F312" t="s">
        <v>1258</v>
      </c>
      <c r="G312" t="s">
        <v>250</v>
      </c>
      <c r="H312" t="b">
        <v>1</v>
      </c>
      <c r="I312" t="s">
        <v>1803</v>
      </c>
      <c r="J312" s="30">
        <f ca="1">YEARFRAC(W312,X312,1)</f>
        <v>74.750857852084394</v>
      </c>
      <c r="K312" t="s">
        <v>1259</v>
      </c>
      <c r="L312" s="32">
        <v>7100</v>
      </c>
      <c r="M312" s="27">
        <v>19910000000000</v>
      </c>
      <c r="N312">
        <v>1952</v>
      </c>
      <c r="O312">
        <v>1</v>
      </c>
      <c r="P312">
        <v>1</v>
      </c>
      <c r="Q312">
        <v>125.08</v>
      </c>
      <c r="R312">
        <v>77</v>
      </c>
      <c r="S312">
        <v>9.4</v>
      </c>
      <c r="T312">
        <v>59.2</v>
      </c>
      <c r="U312">
        <v>1397715000</v>
      </c>
      <c r="V312" s="30"/>
      <c r="W312" s="25">
        <f ca="1">TODAY()</f>
        <v>46297</v>
      </c>
      <c r="X312" s="25">
        <f>DATE(N312,O312,P312)</f>
        <v>18994</v>
      </c>
    </row>
    <row r="313" spans="1:24" x14ac:dyDescent="0.3">
      <c r="A313">
        <v>332</v>
      </c>
      <c r="B313" t="s">
        <v>38</v>
      </c>
      <c r="C313" t="s">
        <v>1260</v>
      </c>
      <c r="D313" t="s">
        <v>32</v>
      </c>
      <c r="E313" t="s">
        <v>856</v>
      </c>
      <c r="F313" t="s">
        <v>739</v>
      </c>
      <c r="G313" t="s">
        <v>38</v>
      </c>
      <c r="H313" t="b">
        <v>1</v>
      </c>
      <c r="I313" t="s">
        <v>1803</v>
      </c>
      <c r="J313" s="30">
        <f ca="1">YEARFRAC(W313,X313,1)</f>
        <v>62.017122245882405</v>
      </c>
      <c r="K313" t="s">
        <v>1262</v>
      </c>
      <c r="L313" s="32">
        <v>7000</v>
      </c>
      <c r="M313" s="27">
        <v>21427700000000</v>
      </c>
      <c r="N313">
        <v>1964</v>
      </c>
      <c r="O313">
        <v>9</v>
      </c>
      <c r="P313">
        <v>25</v>
      </c>
      <c r="Q313">
        <v>117.24</v>
      </c>
      <c r="R313">
        <v>78.5</v>
      </c>
      <c r="S313">
        <v>9.6</v>
      </c>
      <c r="T313">
        <v>36.6</v>
      </c>
      <c r="U313">
        <v>328239523</v>
      </c>
      <c r="V313" s="30"/>
      <c r="W313" s="25">
        <f ca="1">TODAY()</f>
        <v>46297</v>
      </c>
      <c r="X313" s="25">
        <f>DATE(N313,O313,P313)</f>
        <v>23645</v>
      </c>
    </row>
    <row r="314" spans="1:24" x14ac:dyDescent="0.3">
      <c r="A314">
        <v>332</v>
      </c>
      <c r="B314" t="s">
        <v>59</v>
      </c>
      <c r="C314" t="s">
        <v>1263</v>
      </c>
      <c r="D314" t="s">
        <v>226</v>
      </c>
      <c r="E314" t="s">
        <v>227</v>
      </c>
      <c r="F314" t="s">
        <v>281</v>
      </c>
      <c r="G314" t="s">
        <v>59</v>
      </c>
      <c r="H314" t="b">
        <v>1</v>
      </c>
      <c r="I314" t="s">
        <v>1803</v>
      </c>
      <c r="J314" s="30">
        <f ca="1">YEARFRAC(W314,X314,1)</f>
        <v>41.351108213820076</v>
      </c>
      <c r="K314" t="s">
        <v>1265</v>
      </c>
      <c r="L314" s="32">
        <v>7000</v>
      </c>
      <c r="M314" s="27">
        <v>2827113184696</v>
      </c>
      <c r="N314">
        <v>1985</v>
      </c>
      <c r="O314">
        <v>5</v>
      </c>
      <c r="P314">
        <v>27</v>
      </c>
      <c r="Q314">
        <v>119.62</v>
      </c>
      <c r="R314">
        <v>81.3</v>
      </c>
      <c r="S314">
        <v>25.5</v>
      </c>
      <c r="T314">
        <v>30.6</v>
      </c>
      <c r="U314">
        <v>66834405</v>
      </c>
      <c r="V314" s="30"/>
      <c r="W314" s="25">
        <f ca="1">TODAY()</f>
        <v>46297</v>
      </c>
      <c r="X314" s="25">
        <f>DATE(N314,O314,P314)</f>
        <v>31194</v>
      </c>
    </row>
    <row r="315" spans="1:24" x14ac:dyDescent="0.3">
      <c r="A315">
        <v>332</v>
      </c>
      <c r="B315" t="s">
        <v>59</v>
      </c>
      <c r="C315" t="s">
        <v>1266</v>
      </c>
      <c r="D315" t="s">
        <v>226</v>
      </c>
      <c r="E315" t="s">
        <v>227</v>
      </c>
      <c r="F315" t="s">
        <v>281</v>
      </c>
      <c r="G315" t="s">
        <v>59</v>
      </c>
      <c r="H315" t="b">
        <v>1</v>
      </c>
      <c r="I315" t="s">
        <v>1803</v>
      </c>
      <c r="J315" s="30">
        <f ca="1">YEARFRAC(W315,X315,1)</f>
        <v>44.512655147237766</v>
      </c>
      <c r="K315" t="s">
        <v>1267</v>
      </c>
      <c r="L315" s="32">
        <v>7000</v>
      </c>
      <c r="M315" s="27">
        <v>2827113184696</v>
      </c>
      <c r="N315">
        <v>1982</v>
      </c>
      <c r="O315">
        <v>3</v>
      </c>
      <c r="P315">
        <v>29</v>
      </c>
      <c r="Q315">
        <v>119.62</v>
      </c>
      <c r="R315">
        <v>81.3</v>
      </c>
      <c r="S315">
        <v>25.5</v>
      </c>
      <c r="T315">
        <v>30.6</v>
      </c>
      <c r="U315">
        <v>66834405</v>
      </c>
      <c r="V315" s="30"/>
      <c r="W315" s="25">
        <f ca="1">TODAY()</f>
        <v>46297</v>
      </c>
      <c r="X315" s="25">
        <f>DATE(N315,O315,P315)</f>
        <v>30039</v>
      </c>
    </row>
    <row r="316" spans="1:24" x14ac:dyDescent="0.3">
      <c r="A316">
        <v>332</v>
      </c>
      <c r="B316" t="s">
        <v>38</v>
      </c>
      <c r="C316" t="s">
        <v>1268</v>
      </c>
      <c r="D316" t="s">
        <v>32</v>
      </c>
      <c r="E316" t="s">
        <v>1269</v>
      </c>
      <c r="F316" t="s">
        <v>1270</v>
      </c>
      <c r="G316" t="s">
        <v>38</v>
      </c>
      <c r="H316" t="b">
        <v>1</v>
      </c>
      <c r="I316" t="s">
        <v>1803</v>
      </c>
      <c r="J316" s="30">
        <f ca="1">YEARFRAC(W316,X316,1)</f>
        <v>81.195058430717864</v>
      </c>
      <c r="K316" t="s">
        <v>334</v>
      </c>
      <c r="L316" s="32">
        <v>7000</v>
      </c>
      <c r="M316" s="27">
        <v>21427700000000</v>
      </c>
      <c r="N316">
        <v>1945</v>
      </c>
      <c r="O316">
        <v>7</v>
      </c>
      <c r="P316">
        <v>23</v>
      </c>
      <c r="Q316">
        <v>117.24</v>
      </c>
      <c r="R316">
        <v>78.5</v>
      </c>
      <c r="S316">
        <v>9.6</v>
      </c>
      <c r="T316">
        <v>36.6</v>
      </c>
      <c r="U316">
        <v>328239523</v>
      </c>
      <c r="V316" s="30"/>
      <c r="W316" s="25">
        <f ca="1">TODAY()</f>
        <v>46297</v>
      </c>
      <c r="X316" s="25">
        <f>DATE(N316,O316,P316)</f>
        <v>16641</v>
      </c>
    </row>
    <row r="317" spans="1:24" x14ac:dyDescent="0.3">
      <c r="A317">
        <v>332</v>
      </c>
      <c r="B317" t="s">
        <v>250</v>
      </c>
      <c r="C317" t="s">
        <v>1272</v>
      </c>
      <c r="D317" t="s">
        <v>74</v>
      </c>
      <c r="E317" t="s">
        <v>75</v>
      </c>
      <c r="F317" t="s">
        <v>556</v>
      </c>
      <c r="G317" t="s">
        <v>250</v>
      </c>
      <c r="H317" t="b">
        <v>0</v>
      </c>
      <c r="I317" t="s">
        <v>1803</v>
      </c>
      <c r="J317" s="30">
        <f ca="1">YEARFRAC(W317,X317,1)</f>
        <v>83.940443213296405</v>
      </c>
      <c r="K317" t="s">
        <v>1274</v>
      </c>
      <c r="L317" s="32">
        <v>7000</v>
      </c>
      <c r="M317" s="27">
        <v>2611000000000</v>
      </c>
      <c r="N317">
        <v>1942</v>
      </c>
      <c r="O317">
        <v>10</v>
      </c>
      <c r="P317">
        <v>24</v>
      </c>
      <c r="Q317">
        <v>180.44</v>
      </c>
      <c r="R317">
        <v>69.400000000000006</v>
      </c>
      <c r="S317">
        <v>11.2</v>
      </c>
      <c r="T317">
        <v>49.7</v>
      </c>
      <c r="U317">
        <v>1366417754</v>
      </c>
      <c r="V317" s="30"/>
      <c r="W317" s="25">
        <f ca="1">TODAY()</f>
        <v>46297</v>
      </c>
      <c r="X317" s="25">
        <f>DATE(N317,O317,P317)</f>
        <v>15638</v>
      </c>
    </row>
    <row r="318" spans="1:24" x14ac:dyDescent="0.3">
      <c r="A318">
        <v>332</v>
      </c>
      <c r="B318" t="s">
        <v>21</v>
      </c>
      <c r="C318" t="s">
        <v>1275</v>
      </c>
      <c r="D318" t="s">
        <v>32</v>
      </c>
      <c r="E318" t="s">
        <v>61</v>
      </c>
      <c r="F318" t="s">
        <v>1276</v>
      </c>
      <c r="G318" t="s">
        <v>21</v>
      </c>
      <c r="H318" t="b">
        <v>1</v>
      </c>
      <c r="I318" t="s">
        <v>1803</v>
      </c>
      <c r="J318" s="30">
        <f ca="1">YEARFRAC(W318,X318,1)</f>
        <v>86.967830253251194</v>
      </c>
      <c r="K318" t="s">
        <v>1278</v>
      </c>
      <c r="L318" s="32">
        <v>7000</v>
      </c>
      <c r="M318" s="27">
        <v>21427700000000</v>
      </c>
      <c r="N318">
        <v>1939</v>
      </c>
      <c r="O318">
        <v>10</v>
      </c>
      <c r="P318">
        <v>14</v>
      </c>
      <c r="Q318">
        <v>117.24</v>
      </c>
      <c r="R318">
        <v>78.5</v>
      </c>
      <c r="S318">
        <v>9.6</v>
      </c>
      <c r="T318">
        <v>36.6</v>
      </c>
      <c r="U318">
        <v>328239523</v>
      </c>
      <c r="V318" s="30"/>
      <c r="W318" s="25">
        <f ca="1">TODAY()</f>
        <v>46297</v>
      </c>
      <c r="X318" s="25">
        <f>DATE(N318,O318,P318)</f>
        <v>14532</v>
      </c>
    </row>
    <row r="319" spans="1:24" x14ac:dyDescent="0.3">
      <c r="A319">
        <v>332</v>
      </c>
      <c r="B319" t="s">
        <v>72</v>
      </c>
      <c r="C319" t="s">
        <v>1279</v>
      </c>
      <c r="D319" t="s">
        <v>74</v>
      </c>
      <c r="E319" t="s">
        <v>75</v>
      </c>
      <c r="F319" t="s">
        <v>72</v>
      </c>
      <c r="G319" t="s">
        <v>72</v>
      </c>
      <c r="H319" t="b">
        <v>0</v>
      </c>
      <c r="I319" t="s">
        <v>1804</v>
      </c>
      <c r="J319" s="30">
        <f ca="1">YEARFRAC(W319,X319,1)</f>
        <v>59.323750855578368</v>
      </c>
      <c r="K319" t="s">
        <v>1281</v>
      </c>
      <c r="L319" s="32">
        <v>7000</v>
      </c>
      <c r="M319" s="27">
        <v>2611000000000</v>
      </c>
      <c r="N319">
        <v>1967</v>
      </c>
      <c r="O319">
        <v>6</v>
      </c>
      <c r="P319">
        <v>6</v>
      </c>
      <c r="Q319">
        <v>180.44</v>
      </c>
      <c r="R319">
        <v>69.400000000000006</v>
      </c>
      <c r="S319">
        <v>11.2</v>
      </c>
      <c r="T319">
        <v>49.7</v>
      </c>
      <c r="U319">
        <v>1366417754</v>
      </c>
      <c r="V319" s="30"/>
      <c r="W319" s="25">
        <f ca="1">TODAY()</f>
        <v>46297</v>
      </c>
      <c r="X319" s="25">
        <f>DATE(N319,O319,P319)</f>
        <v>24629</v>
      </c>
    </row>
    <row r="320" spans="1:24" x14ac:dyDescent="0.3">
      <c r="A320">
        <v>332</v>
      </c>
      <c r="B320" t="s">
        <v>72</v>
      </c>
      <c r="C320" t="s">
        <v>1282</v>
      </c>
      <c r="D320" t="s">
        <v>74</v>
      </c>
      <c r="E320" t="s">
        <v>75</v>
      </c>
      <c r="F320" t="s">
        <v>72</v>
      </c>
      <c r="G320" t="s">
        <v>72</v>
      </c>
      <c r="H320" t="b">
        <v>0</v>
      </c>
      <c r="I320" t="s">
        <v>1803</v>
      </c>
      <c r="J320" s="30">
        <f ca="1">YEARFRAC(W320,X320,1)</f>
        <v>62.069140845682497</v>
      </c>
      <c r="K320" t="s">
        <v>1283</v>
      </c>
      <c r="L320" s="32">
        <v>7000</v>
      </c>
      <c r="M320" s="27">
        <v>2611000000000</v>
      </c>
      <c r="N320">
        <v>1964</v>
      </c>
      <c r="O320">
        <v>9</v>
      </c>
      <c r="P320">
        <v>6</v>
      </c>
      <c r="Q320">
        <v>180.44</v>
      </c>
      <c r="R320">
        <v>69.400000000000006</v>
      </c>
      <c r="S320">
        <v>11.2</v>
      </c>
      <c r="T320">
        <v>49.7</v>
      </c>
      <c r="U320">
        <v>1366417754</v>
      </c>
      <c r="V320" s="30"/>
      <c r="W320" s="25">
        <f ca="1">TODAY()</f>
        <v>46297</v>
      </c>
      <c r="X320" s="25">
        <f>DATE(N320,O320,P320)</f>
        <v>23626</v>
      </c>
    </row>
    <row r="321" spans="1:24" x14ac:dyDescent="0.3">
      <c r="A321">
        <v>332</v>
      </c>
      <c r="B321" t="s">
        <v>103</v>
      </c>
      <c r="C321" t="s">
        <v>1284</v>
      </c>
      <c r="D321" t="s">
        <v>32</v>
      </c>
      <c r="E321" t="s">
        <v>1285</v>
      </c>
      <c r="F321" t="s">
        <v>1286</v>
      </c>
      <c r="G321" t="s">
        <v>103</v>
      </c>
      <c r="H321" t="b">
        <v>1</v>
      </c>
      <c r="I321" t="s">
        <v>1803</v>
      </c>
      <c r="J321" s="30">
        <f ca="1">YEARFRAC(W321,X321,1)</f>
        <v>72.759730649696607</v>
      </c>
      <c r="K321" t="s">
        <v>1288</v>
      </c>
      <c r="L321" s="32">
        <v>7000</v>
      </c>
      <c r="M321" s="27">
        <v>21427700000000</v>
      </c>
      <c r="N321">
        <v>1953</v>
      </c>
      <c r="O321">
        <v>12</v>
      </c>
      <c r="P321">
        <v>29</v>
      </c>
      <c r="Q321">
        <v>117.24</v>
      </c>
      <c r="R321">
        <v>78.5</v>
      </c>
      <c r="S321">
        <v>9.6</v>
      </c>
      <c r="T321">
        <v>36.6</v>
      </c>
      <c r="U321">
        <v>328239523</v>
      </c>
      <c r="V321" s="30"/>
      <c r="W321" s="25">
        <f ca="1">TODAY()</f>
        <v>46297</v>
      </c>
      <c r="X321" s="25">
        <f>DATE(N321,O321,P321)</f>
        <v>19722</v>
      </c>
    </row>
    <row r="322" spans="1:24" x14ac:dyDescent="0.3">
      <c r="A322">
        <v>332</v>
      </c>
      <c r="B322" t="s">
        <v>103</v>
      </c>
      <c r="C322" t="s">
        <v>1289</v>
      </c>
      <c r="D322" t="s">
        <v>32</v>
      </c>
      <c r="E322" t="s">
        <v>301</v>
      </c>
      <c r="F322" t="s">
        <v>1286</v>
      </c>
      <c r="G322" t="s">
        <v>103</v>
      </c>
      <c r="H322" t="b">
        <v>1</v>
      </c>
      <c r="I322" t="s">
        <v>1803</v>
      </c>
      <c r="J322" s="30">
        <f ca="1">YEARFRAC(W322,X322,1)</f>
        <v>71.044490075290895</v>
      </c>
      <c r="K322" t="s">
        <v>1290</v>
      </c>
      <c r="L322" s="32">
        <v>7000</v>
      </c>
      <c r="M322" s="27">
        <v>21427700000000</v>
      </c>
      <c r="N322">
        <v>1955</v>
      </c>
      <c r="O322">
        <v>9</v>
      </c>
      <c r="P322">
        <v>16</v>
      </c>
      <c r="Q322">
        <v>117.24</v>
      </c>
      <c r="R322">
        <v>78.5</v>
      </c>
      <c r="S322">
        <v>9.6</v>
      </c>
      <c r="T322">
        <v>36.6</v>
      </c>
      <c r="U322">
        <v>328239523</v>
      </c>
      <c r="V322" s="30"/>
      <c r="W322" s="25">
        <f ca="1">TODAY()</f>
        <v>46297</v>
      </c>
      <c r="X322" s="25">
        <f>DATE(N322,O322,P322)</f>
        <v>20348</v>
      </c>
    </row>
    <row r="323" spans="1:24" x14ac:dyDescent="0.3">
      <c r="A323">
        <v>332</v>
      </c>
      <c r="B323" t="s">
        <v>103</v>
      </c>
      <c r="C323" t="s">
        <v>1291</v>
      </c>
      <c r="D323" t="s">
        <v>32</v>
      </c>
      <c r="E323" t="s">
        <v>1292</v>
      </c>
      <c r="F323" t="s">
        <v>1230</v>
      </c>
      <c r="G323" t="s">
        <v>103</v>
      </c>
      <c r="H323" t="b">
        <v>1</v>
      </c>
      <c r="I323" t="s">
        <v>1803</v>
      </c>
      <c r="J323" s="30">
        <f ca="1">YEARFRAC(W323,X323,1)</f>
        <v>74.597539607213264</v>
      </c>
      <c r="K323" t="s">
        <v>1217</v>
      </c>
      <c r="L323" s="32">
        <v>7000</v>
      </c>
      <c r="M323" s="27">
        <v>21427700000000</v>
      </c>
      <c r="N323">
        <v>1952</v>
      </c>
      <c r="O323">
        <v>2</v>
      </c>
      <c r="P323">
        <v>26</v>
      </c>
      <c r="Q323">
        <v>117.24</v>
      </c>
      <c r="R323">
        <v>78.5</v>
      </c>
      <c r="S323">
        <v>9.6</v>
      </c>
      <c r="T323">
        <v>36.6</v>
      </c>
      <c r="U323">
        <v>328239523</v>
      </c>
      <c r="V323" s="30"/>
      <c r="W323" s="25">
        <f ca="1">TODAY()</f>
        <v>46297</v>
      </c>
      <c r="X323" s="25">
        <f>DATE(N323,O323,P323)</f>
        <v>19050</v>
      </c>
    </row>
    <row r="324" spans="1:24" x14ac:dyDescent="0.3">
      <c r="A324">
        <v>344</v>
      </c>
      <c r="B324" t="s">
        <v>72</v>
      </c>
      <c r="C324" t="s">
        <v>1294</v>
      </c>
      <c r="D324" t="s">
        <v>32</v>
      </c>
      <c r="E324" t="s">
        <v>831</v>
      </c>
      <c r="F324" t="s">
        <v>1295</v>
      </c>
      <c r="G324" t="s">
        <v>72</v>
      </c>
      <c r="H324" t="b">
        <v>0</v>
      </c>
      <c r="I324" t="s">
        <v>1804</v>
      </c>
      <c r="J324" s="30">
        <f ca="1">YEARFRAC(W324,X324,1)</f>
        <v>90.75085745231361</v>
      </c>
      <c r="K324" t="s">
        <v>1297</v>
      </c>
      <c r="L324" s="32">
        <v>6900</v>
      </c>
      <c r="M324" s="27">
        <v>21427700000000</v>
      </c>
      <c r="N324">
        <v>1936</v>
      </c>
      <c r="O324">
        <v>1</v>
      </c>
      <c r="P324">
        <v>1</v>
      </c>
      <c r="Q324">
        <v>117.24</v>
      </c>
      <c r="R324">
        <v>78.5</v>
      </c>
      <c r="S324">
        <v>9.6</v>
      </c>
      <c r="T324">
        <v>36.6</v>
      </c>
      <c r="U324">
        <v>328239523</v>
      </c>
      <c r="V324" s="30"/>
      <c r="W324" s="25">
        <f ca="1">TODAY()</f>
        <v>46297</v>
      </c>
      <c r="X324" s="25">
        <f>DATE(N324,O324,P324)</f>
        <v>13150</v>
      </c>
    </row>
    <row r="325" spans="1:24" x14ac:dyDescent="0.3">
      <c r="A325">
        <v>344</v>
      </c>
      <c r="B325" t="s">
        <v>103</v>
      </c>
      <c r="C325" t="s">
        <v>1298</v>
      </c>
      <c r="D325" t="s">
        <v>32</v>
      </c>
      <c r="E325" t="s">
        <v>1299</v>
      </c>
      <c r="F325" t="s">
        <v>1300</v>
      </c>
      <c r="G325" t="s">
        <v>103</v>
      </c>
      <c r="H325" t="b">
        <v>0</v>
      </c>
      <c r="I325" t="s">
        <v>1804</v>
      </c>
      <c r="J325" s="30">
        <f ca="1">YEARFRAC(W325,X325,1)</f>
        <v>92.750853744700891</v>
      </c>
      <c r="K325" t="s">
        <v>1302</v>
      </c>
      <c r="L325" s="32">
        <v>6900</v>
      </c>
      <c r="M325" s="27">
        <v>21427700000000</v>
      </c>
      <c r="N325">
        <v>1934</v>
      </c>
      <c r="O325">
        <v>1</v>
      </c>
      <c r="P325">
        <v>1</v>
      </c>
      <c r="Q325">
        <v>117.24</v>
      </c>
      <c r="R325">
        <v>78.5</v>
      </c>
      <c r="S325">
        <v>9.6</v>
      </c>
      <c r="T325">
        <v>36.6</v>
      </c>
      <c r="U325">
        <v>328239523</v>
      </c>
      <c r="V325" s="30"/>
      <c r="W325" s="25">
        <f ca="1">TODAY()</f>
        <v>46297</v>
      </c>
      <c r="X325" s="25">
        <f>DATE(N325,O325,P325)</f>
        <v>12420</v>
      </c>
    </row>
    <row r="326" spans="1:24" x14ac:dyDescent="0.3">
      <c r="A326">
        <v>344</v>
      </c>
      <c r="B326" t="s">
        <v>49</v>
      </c>
      <c r="C326" t="s">
        <v>1303</v>
      </c>
      <c r="D326" t="s">
        <v>32</v>
      </c>
      <c r="E326" t="s">
        <v>61</v>
      </c>
      <c r="F326" t="s">
        <v>1304</v>
      </c>
      <c r="G326" t="s">
        <v>49</v>
      </c>
      <c r="H326" t="b">
        <v>1</v>
      </c>
      <c r="I326" t="s">
        <v>1803</v>
      </c>
      <c r="J326" s="30">
        <f ca="1">YEARFRAC(W326,X326,1)</f>
        <v>59.044490075290895</v>
      </c>
      <c r="K326" t="s">
        <v>1306</v>
      </c>
      <c r="L326" s="32">
        <v>6900</v>
      </c>
      <c r="M326" s="27">
        <v>21427700000000</v>
      </c>
      <c r="N326">
        <v>1967</v>
      </c>
      <c r="O326">
        <v>9</v>
      </c>
      <c r="P326">
        <v>16</v>
      </c>
      <c r="Q326">
        <v>117.24</v>
      </c>
      <c r="R326">
        <v>78.5</v>
      </c>
      <c r="S326">
        <v>9.6</v>
      </c>
      <c r="T326">
        <v>36.6</v>
      </c>
      <c r="U326">
        <v>328239523</v>
      </c>
      <c r="V326" s="30"/>
      <c r="W326" s="25">
        <f ca="1">TODAY()</f>
        <v>46297</v>
      </c>
      <c r="X326" s="25">
        <f>DATE(N326,O326,P326)</f>
        <v>24731</v>
      </c>
    </row>
    <row r="327" spans="1:24" x14ac:dyDescent="0.3">
      <c r="A327">
        <v>344</v>
      </c>
      <c r="B327" t="s">
        <v>38</v>
      </c>
      <c r="C327" t="s">
        <v>1307</v>
      </c>
      <c r="D327" t="s">
        <v>105</v>
      </c>
      <c r="E327" t="s">
        <v>1308</v>
      </c>
      <c r="F327" t="s">
        <v>1309</v>
      </c>
      <c r="G327" t="s">
        <v>38</v>
      </c>
      <c r="H327" t="b">
        <v>1</v>
      </c>
      <c r="I327" t="s">
        <v>1803</v>
      </c>
      <c r="J327" s="30">
        <f ca="1">YEARFRAC(W327,X327,1)</f>
        <v>62.025335709008736</v>
      </c>
      <c r="K327" t="s">
        <v>1310</v>
      </c>
      <c r="L327" s="32">
        <v>6900</v>
      </c>
      <c r="M327" s="27">
        <v>19910000000000</v>
      </c>
      <c r="N327">
        <v>1964</v>
      </c>
      <c r="O327">
        <v>9</v>
      </c>
      <c r="P327">
        <v>22</v>
      </c>
      <c r="Q327">
        <v>125.08</v>
      </c>
      <c r="R327">
        <v>77</v>
      </c>
      <c r="S327">
        <v>9.4</v>
      </c>
      <c r="T327">
        <v>59.2</v>
      </c>
      <c r="U327">
        <v>1397715000</v>
      </c>
      <c r="V327" s="30"/>
      <c r="W327" s="25">
        <f ca="1">TODAY()</f>
        <v>46297</v>
      </c>
      <c r="X327" s="25">
        <f>DATE(N327,O327,P327)</f>
        <v>23642</v>
      </c>
    </row>
    <row r="328" spans="1:24" x14ac:dyDescent="0.3">
      <c r="A328">
        <v>344</v>
      </c>
      <c r="B328" t="s">
        <v>462</v>
      </c>
      <c r="C328" t="s">
        <v>1311</v>
      </c>
      <c r="D328" t="s">
        <v>32</v>
      </c>
      <c r="E328" t="s">
        <v>1312</v>
      </c>
      <c r="F328" t="s">
        <v>465</v>
      </c>
      <c r="G328" t="s">
        <v>462</v>
      </c>
      <c r="H328" t="b">
        <v>1</v>
      </c>
      <c r="I328" t="s">
        <v>1803</v>
      </c>
      <c r="J328" s="30">
        <f ca="1">YEARFRAC(W328,X328,1)</f>
        <v>84.033530889647622</v>
      </c>
      <c r="K328" t="s">
        <v>1267</v>
      </c>
      <c r="L328" s="32">
        <v>6900</v>
      </c>
      <c r="M328" s="27">
        <v>21427700000000</v>
      </c>
      <c r="N328">
        <v>1942</v>
      </c>
      <c r="O328">
        <v>9</v>
      </c>
      <c r="P328">
        <v>20</v>
      </c>
      <c r="Q328">
        <v>117.24</v>
      </c>
      <c r="R328">
        <v>78.5</v>
      </c>
      <c r="S328">
        <v>9.6</v>
      </c>
      <c r="T328">
        <v>36.6</v>
      </c>
      <c r="U328">
        <v>328239523</v>
      </c>
      <c r="V328" s="30"/>
      <c r="W328" s="25">
        <f ca="1">TODAY()</f>
        <v>46297</v>
      </c>
      <c r="X328" s="25">
        <f>DATE(N328,O328,P328)</f>
        <v>15604</v>
      </c>
    </row>
    <row r="329" spans="1:24" x14ac:dyDescent="0.3">
      <c r="A329">
        <v>344</v>
      </c>
      <c r="B329" t="s">
        <v>21</v>
      </c>
      <c r="C329" t="s">
        <v>1314</v>
      </c>
      <c r="D329" t="s">
        <v>93</v>
      </c>
      <c r="E329" t="s">
        <v>94</v>
      </c>
      <c r="F329" t="s">
        <v>95</v>
      </c>
      <c r="G329" t="s">
        <v>21</v>
      </c>
      <c r="H329" t="b">
        <v>0</v>
      </c>
      <c r="I329" t="s">
        <v>1804</v>
      </c>
      <c r="J329" s="30">
        <f ca="1">YEARFRAC(W329,X329,1)</f>
        <v>58.23067285382831</v>
      </c>
      <c r="K329" t="s">
        <v>1316</v>
      </c>
      <c r="L329" s="32">
        <v>6900</v>
      </c>
      <c r="M329" s="27">
        <v>1394116310769</v>
      </c>
      <c r="N329">
        <v>1968</v>
      </c>
      <c r="O329">
        <v>7</v>
      </c>
      <c r="P329">
        <v>9</v>
      </c>
      <c r="Q329">
        <v>110.96</v>
      </c>
      <c r="R329">
        <v>83.3</v>
      </c>
      <c r="S329">
        <v>14.2</v>
      </c>
      <c r="T329">
        <v>47</v>
      </c>
      <c r="U329">
        <v>47076781</v>
      </c>
      <c r="V329" s="30"/>
      <c r="W329" s="25">
        <f ca="1">TODAY()</f>
        <v>46297</v>
      </c>
      <c r="X329" s="25">
        <f>DATE(N329,O329,P329)</f>
        <v>25028</v>
      </c>
    </row>
    <row r="330" spans="1:24" x14ac:dyDescent="0.3">
      <c r="A330">
        <v>344</v>
      </c>
      <c r="B330" t="s">
        <v>351</v>
      </c>
      <c r="C330" t="s">
        <v>1317</v>
      </c>
      <c r="D330" t="s">
        <v>32</v>
      </c>
      <c r="E330" t="s">
        <v>1318</v>
      </c>
      <c r="F330" t="s">
        <v>1319</v>
      </c>
      <c r="G330" t="s">
        <v>351</v>
      </c>
      <c r="H330" t="b">
        <v>0</v>
      </c>
      <c r="I330" t="s">
        <v>1804</v>
      </c>
      <c r="J330" s="30">
        <f ca="1">YEARFRAC(W330,X330,1)</f>
        <v>72.422308067359268</v>
      </c>
      <c r="K330" t="s">
        <v>1321</v>
      </c>
      <c r="L330" s="32">
        <v>6900</v>
      </c>
      <c r="M330" s="27">
        <v>21427700000000</v>
      </c>
      <c r="N330">
        <v>1954</v>
      </c>
      <c r="O330">
        <v>5</v>
      </c>
      <c r="P330">
        <v>1</v>
      </c>
      <c r="Q330">
        <v>117.24</v>
      </c>
      <c r="R330">
        <v>78.5</v>
      </c>
      <c r="S330">
        <v>9.6</v>
      </c>
      <c r="T330">
        <v>36.6</v>
      </c>
      <c r="U330">
        <v>328239523</v>
      </c>
      <c r="V330" s="30"/>
      <c r="W330" s="25">
        <f ca="1">TODAY()</f>
        <v>46297</v>
      </c>
      <c r="X330" s="25">
        <f>DATE(N330,O330,P330)</f>
        <v>19845</v>
      </c>
    </row>
    <row r="331" spans="1:24" x14ac:dyDescent="0.3">
      <c r="A331">
        <v>352</v>
      </c>
      <c r="B331" t="s">
        <v>292</v>
      </c>
      <c r="C331" t="s">
        <v>1322</v>
      </c>
      <c r="D331" t="s">
        <v>32</v>
      </c>
      <c r="E331" t="s">
        <v>742</v>
      </c>
      <c r="F331" t="s">
        <v>1219</v>
      </c>
      <c r="G331" t="s">
        <v>292</v>
      </c>
      <c r="H331" t="b">
        <v>0</v>
      </c>
      <c r="I331" t="s">
        <v>1804</v>
      </c>
      <c r="J331" s="30">
        <f ca="1">YEARFRAC(W331,X331,1)</f>
        <v>62.564686454304464</v>
      </c>
      <c r="K331" t="s">
        <v>1324</v>
      </c>
      <c r="L331" s="32">
        <v>6800</v>
      </c>
      <c r="M331" s="27">
        <v>21427700000000</v>
      </c>
      <c r="N331">
        <v>1964</v>
      </c>
      <c r="O331">
        <v>3</v>
      </c>
      <c r="P331">
        <v>9</v>
      </c>
      <c r="Q331">
        <v>117.24</v>
      </c>
      <c r="R331">
        <v>78.5</v>
      </c>
      <c r="S331">
        <v>9.6</v>
      </c>
      <c r="T331">
        <v>36.6</v>
      </c>
      <c r="U331">
        <v>328239523</v>
      </c>
      <c r="V331" s="30"/>
      <c r="W331" s="25">
        <f ca="1">TODAY()</f>
        <v>46297</v>
      </c>
      <c r="X331" s="25">
        <f>DATE(N331,O331,P331)</f>
        <v>23445</v>
      </c>
    </row>
    <row r="332" spans="1:24" x14ac:dyDescent="0.3">
      <c r="A332">
        <v>352</v>
      </c>
      <c r="B332" t="s">
        <v>72</v>
      </c>
      <c r="C332" t="s">
        <v>1325</v>
      </c>
      <c r="D332" t="s">
        <v>680</v>
      </c>
      <c r="E332" t="s">
        <v>681</v>
      </c>
      <c r="F332" t="s">
        <v>135</v>
      </c>
      <c r="G332" t="s">
        <v>72</v>
      </c>
      <c r="H332" t="b">
        <v>1</v>
      </c>
      <c r="I332" t="s">
        <v>1803</v>
      </c>
      <c r="J332" s="30">
        <f ca="1">YEARFRAC(W332,X332,1)</f>
        <v>90.006167639448819</v>
      </c>
      <c r="K332" t="s">
        <v>1327</v>
      </c>
      <c r="L332" s="32">
        <v>6800</v>
      </c>
      <c r="M332" s="27">
        <v>2001244392042</v>
      </c>
      <c r="N332">
        <v>1936</v>
      </c>
      <c r="O332">
        <v>9</v>
      </c>
      <c r="P332">
        <v>29</v>
      </c>
      <c r="Q332">
        <v>110.62</v>
      </c>
      <c r="R332">
        <v>82.9</v>
      </c>
      <c r="S332">
        <v>24.3</v>
      </c>
      <c r="T332">
        <v>59.1</v>
      </c>
      <c r="U332">
        <v>60297396</v>
      </c>
      <c r="V332" s="30"/>
      <c r="W332" s="25">
        <f ca="1">TODAY()</f>
        <v>46297</v>
      </c>
      <c r="X332" s="25">
        <f>DATE(N332,O332,P332)</f>
        <v>13422</v>
      </c>
    </row>
    <row r="333" spans="1:24" x14ac:dyDescent="0.3">
      <c r="A333">
        <v>352</v>
      </c>
      <c r="B333" t="s">
        <v>196</v>
      </c>
      <c r="C333" t="s">
        <v>1328</v>
      </c>
      <c r="D333" t="s">
        <v>226</v>
      </c>
      <c r="E333" t="s">
        <v>1329</v>
      </c>
      <c r="F333" t="s">
        <v>1330</v>
      </c>
      <c r="G333" t="s">
        <v>196</v>
      </c>
      <c r="H333" t="b">
        <v>1</v>
      </c>
      <c r="I333" t="s">
        <v>1804</v>
      </c>
      <c r="J333" s="30">
        <f ca="1">YEARFRAC(W333,X333,1)</f>
        <v>59.017111567419576</v>
      </c>
      <c r="K333" t="s">
        <v>1332</v>
      </c>
      <c r="L333" s="32">
        <v>6800</v>
      </c>
      <c r="M333" s="27">
        <v>2827113184696</v>
      </c>
      <c r="N333">
        <v>1967</v>
      </c>
      <c r="O333">
        <v>9</v>
      </c>
      <c r="P333">
        <v>26</v>
      </c>
      <c r="Q333">
        <v>119.62</v>
      </c>
      <c r="R333">
        <v>81.3</v>
      </c>
      <c r="S333">
        <v>25.5</v>
      </c>
      <c r="T333">
        <v>30.6</v>
      </c>
      <c r="U333">
        <v>66834405</v>
      </c>
      <c r="V333" s="30"/>
      <c r="W333" s="25">
        <f ca="1">TODAY()</f>
        <v>46297</v>
      </c>
      <c r="X333" s="25">
        <f>DATE(N333,O333,P333)</f>
        <v>24741</v>
      </c>
    </row>
    <row r="334" spans="1:24" x14ac:dyDescent="0.3">
      <c r="A334">
        <v>352</v>
      </c>
      <c r="B334" t="s">
        <v>292</v>
      </c>
      <c r="C334" t="s">
        <v>1333</v>
      </c>
      <c r="D334" t="s">
        <v>32</v>
      </c>
      <c r="E334" t="s">
        <v>742</v>
      </c>
      <c r="F334" t="s">
        <v>1219</v>
      </c>
      <c r="G334" t="s">
        <v>292</v>
      </c>
      <c r="H334" t="b">
        <v>0</v>
      </c>
      <c r="I334" t="s">
        <v>1803</v>
      </c>
      <c r="J334" s="30">
        <f ca="1">YEARFRAC(W334,X334,1)</f>
        <v>43.918532489656847</v>
      </c>
      <c r="K334" t="s">
        <v>319</v>
      </c>
      <c r="L334" s="32">
        <v>6800</v>
      </c>
      <c r="M334" s="27">
        <v>21427700000000</v>
      </c>
      <c r="N334">
        <v>1982</v>
      </c>
      <c r="O334">
        <v>11</v>
      </c>
      <c r="P334">
        <v>1</v>
      </c>
      <c r="Q334">
        <v>117.24</v>
      </c>
      <c r="R334">
        <v>78.5</v>
      </c>
      <c r="S334">
        <v>9.6</v>
      </c>
      <c r="T334">
        <v>36.6</v>
      </c>
      <c r="U334">
        <v>328239523</v>
      </c>
      <c r="V334" s="30"/>
      <c r="W334" s="25">
        <f ca="1">TODAY()</f>
        <v>46297</v>
      </c>
      <c r="X334" s="25">
        <f>DATE(N334,O334,P334)</f>
        <v>30256</v>
      </c>
    </row>
    <row r="335" spans="1:24" x14ac:dyDescent="0.3">
      <c r="A335">
        <v>352</v>
      </c>
      <c r="B335" t="s">
        <v>292</v>
      </c>
      <c r="C335" t="s">
        <v>1335</v>
      </c>
      <c r="D335" t="s">
        <v>32</v>
      </c>
      <c r="E335" t="s">
        <v>742</v>
      </c>
      <c r="F335" t="s">
        <v>1219</v>
      </c>
      <c r="G335" t="s">
        <v>292</v>
      </c>
      <c r="H335" t="b">
        <v>0</v>
      </c>
      <c r="I335" t="s">
        <v>1804</v>
      </c>
      <c r="J335" s="30">
        <f ca="1">YEARFRAC(W335,X335,1)</f>
        <v>57.140294561933537</v>
      </c>
      <c r="K335" t="s">
        <v>1337</v>
      </c>
      <c r="L335" s="32">
        <v>6800</v>
      </c>
      <c r="M335" s="27">
        <v>21427700000000</v>
      </c>
      <c r="N335">
        <v>1969</v>
      </c>
      <c r="O335">
        <v>8</v>
      </c>
      <c r="P335">
        <v>12</v>
      </c>
      <c r="Q335">
        <v>117.24</v>
      </c>
      <c r="R335">
        <v>78.5</v>
      </c>
      <c r="S335">
        <v>9.6</v>
      </c>
      <c r="T335">
        <v>36.6</v>
      </c>
      <c r="U335">
        <v>328239523</v>
      </c>
      <c r="V335" s="30"/>
      <c r="W335" s="25">
        <f ca="1">TODAY()</f>
        <v>46297</v>
      </c>
      <c r="X335" s="25">
        <f>DATE(N335,O335,P335)</f>
        <v>25427</v>
      </c>
    </row>
    <row r="336" spans="1:24" x14ac:dyDescent="0.3">
      <c r="A336">
        <v>352</v>
      </c>
      <c r="B336" t="s">
        <v>49</v>
      </c>
      <c r="C336" t="s">
        <v>1338</v>
      </c>
      <c r="D336" t="s">
        <v>32</v>
      </c>
      <c r="E336" t="s">
        <v>1339</v>
      </c>
      <c r="F336" t="s">
        <v>371</v>
      </c>
      <c r="G336" t="s">
        <v>49</v>
      </c>
      <c r="H336" t="b">
        <v>0</v>
      </c>
      <c r="I336" t="s">
        <v>1803</v>
      </c>
      <c r="J336" s="30">
        <f ca="1">YEARFRAC(W336,X336,1)</f>
        <v>61.869279909608451</v>
      </c>
      <c r="K336" t="s">
        <v>1340</v>
      </c>
      <c r="L336" s="32">
        <v>6800</v>
      </c>
      <c r="M336" s="27">
        <v>21427700000000</v>
      </c>
      <c r="N336">
        <v>1964</v>
      </c>
      <c r="O336">
        <v>11</v>
      </c>
      <c r="P336">
        <v>18</v>
      </c>
      <c r="Q336">
        <v>117.24</v>
      </c>
      <c r="R336">
        <v>78.5</v>
      </c>
      <c r="S336">
        <v>9.6</v>
      </c>
      <c r="T336">
        <v>36.6</v>
      </c>
      <c r="U336">
        <v>328239523</v>
      </c>
      <c r="V336" s="30"/>
      <c r="W336" s="25">
        <f ca="1">TODAY()</f>
        <v>46297</v>
      </c>
      <c r="X336" s="25">
        <f>DATE(N336,O336,P336)</f>
        <v>23699</v>
      </c>
    </row>
    <row r="337" spans="1:24" x14ac:dyDescent="0.3">
      <c r="A337">
        <v>352</v>
      </c>
      <c r="B337" t="s">
        <v>49</v>
      </c>
      <c r="C337" t="s">
        <v>1341</v>
      </c>
      <c r="D337" t="s">
        <v>32</v>
      </c>
      <c r="E337" t="s">
        <v>100</v>
      </c>
      <c r="F337" t="s">
        <v>1342</v>
      </c>
      <c r="G337" t="s">
        <v>49</v>
      </c>
      <c r="H337" t="b">
        <v>1</v>
      </c>
      <c r="I337" t="s">
        <v>1803</v>
      </c>
      <c r="J337" s="30">
        <f ca="1">YEARFRAC(W337,X337,1)</f>
        <v>64.891147432174563</v>
      </c>
      <c r="K337" t="s">
        <v>1344</v>
      </c>
      <c r="L337" s="32">
        <v>6800</v>
      </c>
      <c r="M337" s="27">
        <v>21427700000000</v>
      </c>
      <c r="N337">
        <v>1961</v>
      </c>
      <c r="O337">
        <v>11</v>
      </c>
      <c r="P337">
        <v>11</v>
      </c>
      <c r="Q337">
        <v>117.24</v>
      </c>
      <c r="R337">
        <v>78.5</v>
      </c>
      <c r="S337">
        <v>9.6</v>
      </c>
      <c r="T337">
        <v>36.6</v>
      </c>
      <c r="U337">
        <v>328239523</v>
      </c>
      <c r="V337" s="30"/>
      <c r="W337" s="25">
        <f ca="1">TODAY()</f>
        <v>46297</v>
      </c>
      <c r="X337" s="25">
        <f>DATE(N337,O337,P337)</f>
        <v>22596</v>
      </c>
    </row>
    <row r="338" spans="1:24" x14ac:dyDescent="0.3">
      <c r="A338">
        <v>352</v>
      </c>
      <c r="B338" t="s">
        <v>38</v>
      </c>
      <c r="C338" t="s">
        <v>1345</v>
      </c>
      <c r="D338" t="s">
        <v>32</v>
      </c>
      <c r="E338" t="s">
        <v>883</v>
      </c>
      <c r="F338" t="s">
        <v>1346</v>
      </c>
      <c r="G338" t="s">
        <v>38</v>
      </c>
      <c r="H338" t="b">
        <v>1</v>
      </c>
      <c r="I338" t="s">
        <v>1803</v>
      </c>
      <c r="J338" s="30">
        <f ca="1">YEARFRAC(W338,X338,1)</f>
        <v>97.745376320053637</v>
      </c>
      <c r="K338" t="s">
        <v>1348</v>
      </c>
      <c r="L338" s="32">
        <v>6800</v>
      </c>
      <c r="M338" s="27">
        <v>21427700000000</v>
      </c>
      <c r="N338">
        <v>1929</v>
      </c>
      <c r="O338">
        <v>1</v>
      </c>
      <c r="P338">
        <v>3</v>
      </c>
      <c r="Q338">
        <v>117.24</v>
      </c>
      <c r="R338">
        <v>78.5</v>
      </c>
      <c r="S338">
        <v>9.6</v>
      </c>
      <c r="T338">
        <v>36.6</v>
      </c>
      <c r="U338">
        <v>328239523</v>
      </c>
      <c r="V338" s="30"/>
      <c r="W338" s="25">
        <f ca="1">TODAY()</f>
        <v>46297</v>
      </c>
      <c r="X338" s="25">
        <f>DATE(N338,O338,P338)</f>
        <v>10596</v>
      </c>
    </row>
    <row r="339" spans="1:24" x14ac:dyDescent="0.3">
      <c r="A339">
        <v>352</v>
      </c>
      <c r="B339" t="s">
        <v>49</v>
      </c>
      <c r="C339" t="s">
        <v>1349</v>
      </c>
      <c r="D339" t="s">
        <v>32</v>
      </c>
      <c r="E339" t="s">
        <v>1350</v>
      </c>
      <c r="F339" t="s">
        <v>204</v>
      </c>
      <c r="G339" t="s">
        <v>49</v>
      </c>
      <c r="H339" t="b">
        <v>1</v>
      </c>
      <c r="I339" t="s">
        <v>1803</v>
      </c>
      <c r="J339" s="30">
        <f ca="1">YEARFRAC(W339,X339,1)</f>
        <v>56.781627643504535</v>
      </c>
      <c r="K339" t="s">
        <v>190</v>
      </c>
      <c r="L339" s="32">
        <v>6800</v>
      </c>
      <c r="M339" s="27">
        <v>21427700000000</v>
      </c>
      <c r="N339">
        <v>1969</v>
      </c>
      <c r="O339">
        <v>12</v>
      </c>
      <c r="P339">
        <v>21</v>
      </c>
      <c r="Q339">
        <v>117.24</v>
      </c>
      <c r="R339">
        <v>78.5</v>
      </c>
      <c r="S339">
        <v>9.6</v>
      </c>
      <c r="T339">
        <v>36.6</v>
      </c>
      <c r="U339">
        <v>328239523</v>
      </c>
      <c r="V339" s="30"/>
      <c r="W339" s="25">
        <f ca="1">TODAY()</f>
        <v>46297</v>
      </c>
      <c r="X339" s="25">
        <f>DATE(N339,O339,P339)</f>
        <v>25558</v>
      </c>
    </row>
    <row r="340" spans="1:24" x14ac:dyDescent="0.3">
      <c r="A340">
        <v>352</v>
      </c>
      <c r="B340" t="s">
        <v>49</v>
      </c>
      <c r="C340" t="s">
        <v>1352</v>
      </c>
      <c r="D340" t="s">
        <v>32</v>
      </c>
      <c r="E340" t="s">
        <v>1353</v>
      </c>
      <c r="F340" t="s">
        <v>204</v>
      </c>
      <c r="G340" t="s">
        <v>49</v>
      </c>
      <c r="H340" t="b">
        <v>1</v>
      </c>
      <c r="I340" t="s">
        <v>1803</v>
      </c>
      <c r="J340" s="30">
        <f ca="1">YEARFRAC(W340,X340,1)</f>
        <v>65.216958433584992</v>
      </c>
      <c r="K340" t="s">
        <v>137</v>
      </c>
      <c r="L340" s="32">
        <v>6800</v>
      </c>
      <c r="M340" s="27">
        <v>21427700000000</v>
      </c>
      <c r="N340">
        <v>1961</v>
      </c>
      <c r="O340">
        <v>7</v>
      </c>
      <c r="P340">
        <v>15</v>
      </c>
      <c r="Q340">
        <v>117.24</v>
      </c>
      <c r="R340">
        <v>78.5</v>
      </c>
      <c r="S340">
        <v>9.6</v>
      </c>
      <c r="T340">
        <v>36.6</v>
      </c>
      <c r="U340">
        <v>328239523</v>
      </c>
      <c r="V340" s="30"/>
      <c r="W340" s="25">
        <f ca="1">TODAY()</f>
        <v>46297</v>
      </c>
      <c r="X340" s="25">
        <f>DATE(N340,O340,P340)</f>
        <v>22477</v>
      </c>
    </row>
    <row r="341" spans="1:24" x14ac:dyDescent="0.3">
      <c r="A341">
        <v>352</v>
      </c>
      <c r="B341" t="s">
        <v>72</v>
      </c>
      <c r="C341" t="s">
        <v>1355</v>
      </c>
      <c r="D341" t="s">
        <v>327</v>
      </c>
      <c r="E341" t="s">
        <v>328</v>
      </c>
      <c r="F341" t="s">
        <v>1356</v>
      </c>
      <c r="G341" t="s">
        <v>72</v>
      </c>
      <c r="H341" t="b">
        <v>1</v>
      </c>
      <c r="I341" t="s">
        <v>1803</v>
      </c>
      <c r="J341" s="30">
        <f ca="1">YEARFRAC(W341,X341,1)</f>
        <v>69.468846560018775</v>
      </c>
      <c r="K341" t="s">
        <v>748</v>
      </c>
      <c r="L341" s="32">
        <v>6800</v>
      </c>
      <c r="M341" s="27">
        <v>1699876578871</v>
      </c>
      <c r="N341">
        <v>1957</v>
      </c>
      <c r="O341">
        <v>4</v>
      </c>
      <c r="P341">
        <v>14</v>
      </c>
      <c r="Q341">
        <v>180.75</v>
      </c>
      <c r="R341">
        <v>72.7</v>
      </c>
      <c r="S341">
        <v>11.4</v>
      </c>
      <c r="T341">
        <v>46.2</v>
      </c>
      <c r="U341">
        <v>144373535</v>
      </c>
      <c r="V341" s="30"/>
      <c r="W341" s="25">
        <f ca="1">TODAY()</f>
        <v>46297</v>
      </c>
      <c r="X341" s="25">
        <f>DATE(N341,O341,P341)</f>
        <v>20924</v>
      </c>
    </row>
    <row r="342" spans="1:24" x14ac:dyDescent="0.3">
      <c r="A342">
        <v>352</v>
      </c>
      <c r="B342" t="s">
        <v>38</v>
      </c>
      <c r="C342" t="s">
        <v>1358</v>
      </c>
      <c r="D342" t="s">
        <v>105</v>
      </c>
      <c r="E342" t="s">
        <v>192</v>
      </c>
      <c r="F342" t="s">
        <v>1205</v>
      </c>
      <c r="G342" t="s">
        <v>38</v>
      </c>
      <c r="H342" t="b">
        <v>1</v>
      </c>
      <c r="I342" t="s">
        <v>1803</v>
      </c>
      <c r="J342" s="30">
        <f ca="1">YEARFRAC(W342,X342,1)</f>
        <v>61.798096562513578</v>
      </c>
      <c r="K342" t="s">
        <v>1359</v>
      </c>
      <c r="L342" s="32">
        <v>6800</v>
      </c>
      <c r="M342" s="27">
        <v>19910000000000</v>
      </c>
      <c r="N342">
        <v>1964</v>
      </c>
      <c r="O342">
        <v>12</v>
      </c>
      <c r="P342">
        <v>14</v>
      </c>
      <c r="Q342">
        <v>125.08</v>
      </c>
      <c r="R342">
        <v>77</v>
      </c>
      <c r="S342">
        <v>9.4</v>
      </c>
      <c r="T342">
        <v>59.2</v>
      </c>
      <c r="U342">
        <v>1397715000</v>
      </c>
      <c r="V342" s="30"/>
      <c r="W342" s="25">
        <f ca="1">TODAY()</f>
        <v>46297</v>
      </c>
      <c r="X342" s="25">
        <f>DATE(N342,O342,P342)</f>
        <v>23725</v>
      </c>
    </row>
    <row r="343" spans="1:24" x14ac:dyDescent="0.3">
      <c r="A343">
        <v>352</v>
      </c>
      <c r="B343" t="s">
        <v>292</v>
      </c>
      <c r="C343" t="s">
        <v>1360</v>
      </c>
      <c r="D343" t="s">
        <v>32</v>
      </c>
      <c r="E343" t="s">
        <v>742</v>
      </c>
      <c r="F343" t="s">
        <v>1219</v>
      </c>
      <c r="G343" t="s">
        <v>292</v>
      </c>
      <c r="H343" t="b">
        <v>0</v>
      </c>
      <c r="I343" t="s">
        <v>1804</v>
      </c>
      <c r="J343" s="30">
        <f ca="1">YEARFRAC(W343,X343,1)</f>
        <v>65.096490500290386</v>
      </c>
      <c r="K343" t="s">
        <v>1362</v>
      </c>
      <c r="L343" s="32">
        <v>6800</v>
      </c>
      <c r="M343" s="27">
        <v>21427700000000</v>
      </c>
      <c r="N343">
        <v>1961</v>
      </c>
      <c r="O343">
        <v>8</v>
      </c>
      <c r="P343">
        <v>28</v>
      </c>
      <c r="Q343">
        <v>117.24</v>
      </c>
      <c r="R343">
        <v>78.5</v>
      </c>
      <c r="S343">
        <v>9.6</v>
      </c>
      <c r="T343">
        <v>36.6</v>
      </c>
      <c r="U343">
        <v>328239523</v>
      </c>
      <c r="V343" s="30"/>
      <c r="W343" s="25">
        <f ca="1">TODAY()</f>
        <v>46297</v>
      </c>
      <c r="X343" s="25">
        <f>DATE(N343,O343,P343)</f>
        <v>22521</v>
      </c>
    </row>
    <row r="344" spans="1:24" x14ac:dyDescent="0.3">
      <c r="A344">
        <v>365</v>
      </c>
      <c r="B344" t="s">
        <v>49</v>
      </c>
      <c r="C344" t="s">
        <v>1363</v>
      </c>
      <c r="D344" t="s">
        <v>32</v>
      </c>
      <c r="E344" t="s">
        <v>592</v>
      </c>
      <c r="F344" t="s">
        <v>1364</v>
      </c>
      <c r="G344" t="s">
        <v>49</v>
      </c>
      <c r="H344" t="b">
        <v>1</v>
      </c>
      <c r="I344" t="s">
        <v>1803</v>
      </c>
      <c r="J344" s="30">
        <f ca="1">YEARFRAC(W344,X344,1)</f>
        <v>75.841878822358126</v>
      </c>
      <c r="K344" t="s">
        <v>206</v>
      </c>
      <c r="L344" s="32">
        <v>6700</v>
      </c>
      <c r="M344" s="27">
        <v>21427700000000</v>
      </c>
      <c r="N344">
        <v>1950</v>
      </c>
      <c r="O344">
        <v>11</v>
      </c>
      <c r="P344">
        <v>29</v>
      </c>
      <c r="Q344">
        <v>117.24</v>
      </c>
      <c r="R344">
        <v>78.5</v>
      </c>
      <c r="S344">
        <v>9.6</v>
      </c>
      <c r="T344">
        <v>36.6</v>
      </c>
      <c r="U344">
        <v>328239523</v>
      </c>
      <c r="V344" s="30"/>
      <c r="W344" s="25">
        <f ca="1">TODAY()</f>
        <v>46297</v>
      </c>
      <c r="X344" s="25">
        <f>DATE(N344,O344,P344)</f>
        <v>18596</v>
      </c>
    </row>
    <row r="345" spans="1:24" x14ac:dyDescent="0.3">
      <c r="A345">
        <v>365</v>
      </c>
      <c r="B345" t="s">
        <v>49</v>
      </c>
      <c r="C345" t="s">
        <v>1366</v>
      </c>
      <c r="D345" t="s">
        <v>226</v>
      </c>
      <c r="E345" t="s">
        <v>227</v>
      </c>
      <c r="F345" t="s">
        <v>204</v>
      </c>
      <c r="G345" t="s">
        <v>49</v>
      </c>
      <c r="H345" t="b">
        <v>1</v>
      </c>
      <c r="I345" t="s">
        <v>1803</v>
      </c>
      <c r="J345" s="30">
        <f ca="1">YEARFRAC(W345,X345,1)</f>
        <v>59.932226211849191</v>
      </c>
      <c r="K345" t="s">
        <v>1368</v>
      </c>
      <c r="L345" s="32">
        <v>6700</v>
      </c>
      <c r="M345" s="27">
        <v>2827113184696</v>
      </c>
      <c r="N345">
        <v>1966</v>
      </c>
      <c r="O345">
        <v>10</v>
      </c>
      <c r="P345">
        <v>27</v>
      </c>
      <c r="Q345">
        <v>119.62</v>
      </c>
      <c r="R345">
        <v>81.3</v>
      </c>
      <c r="S345">
        <v>25.5</v>
      </c>
      <c r="T345">
        <v>30.6</v>
      </c>
      <c r="U345">
        <v>66834405</v>
      </c>
      <c r="V345" s="30"/>
      <c r="W345" s="25">
        <f ca="1">TODAY()</f>
        <v>46297</v>
      </c>
      <c r="X345" s="25">
        <f>DATE(N345,O345,P345)</f>
        <v>24407</v>
      </c>
    </row>
    <row r="346" spans="1:24" x14ac:dyDescent="0.3">
      <c r="A346">
        <v>365</v>
      </c>
      <c r="B346" t="s">
        <v>250</v>
      </c>
      <c r="C346" t="s">
        <v>1369</v>
      </c>
      <c r="D346" t="s">
        <v>1195</v>
      </c>
      <c r="E346" t="s">
        <v>1370</v>
      </c>
      <c r="F346" t="s">
        <v>1371</v>
      </c>
      <c r="G346" t="s">
        <v>250</v>
      </c>
      <c r="H346" t="b">
        <v>0</v>
      </c>
      <c r="I346" t="s">
        <v>1803</v>
      </c>
      <c r="J346" s="30">
        <f ca="1">YEARFRAC(W346,X346,1)</f>
        <v>78.765229295003422</v>
      </c>
      <c r="K346" t="s">
        <v>1373</v>
      </c>
      <c r="L346" s="32">
        <v>6700</v>
      </c>
      <c r="M346" s="27">
        <v>348078018464</v>
      </c>
      <c r="N346">
        <v>1947</v>
      </c>
      <c r="O346">
        <v>12</v>
      </c>
      <c r="P346">
        <v>27</v>
      </c>
      <c r="Q346">
        <v>110.35</v>
      </c>
      <c r="R346">
        <v>81</v>
      </c>
      <c r="S346">
        <v>32.4</v>
      </c>
      <c r="T346">
        <v>23.8</v>
      </c>
      <c r="U346">
        <v>5818553</v>
      </c>
      <c r="V346" s="30"/>
      <c r="W346" s="25">
        <f ca="1">TODAY()</f>
        <v>46297</v>
      </c>
      <c r="X346" s="25">
        <f>DATE(N346,O346,P346)</f>
        <v>17528</v>
      </c>
    </row>
    <row r="347" spans="1:24" x14ac:dyDescent="0.3">
      <c r="A347">
        <v>365</v>
      </c>
      <c r="B347" t="s">
        <v>250</v>
      </c>
      <c r="C347" t="s">
        <v>1374</v>
      </c>
      <c r="D347" t="s">
        <v>1195</v>
      </c>
      <c r="E347" t="s">
        <v>1370</v>
      </c>
      <c r="F347" t="s">
        <v>1371</v>
      </c>
      <c r="G347" t="s">
        <v>250</v>
      </c>
      <c r="H347" t="b">
        <v>0</v>
      </c>
      <c r="I347" t="s">
        <v>1804</v>
      </c>
      <c r="J347" s="30">
        <f ca="1">YEARFRAC(W347,X347,1)</f>
        <v>50.750858922052821</v>
      </c>
      <c r="K347" t="s">
        <v>1375</v>
      </c>
      <c r="L347" s="32">
        <v>6700</v>
      </c>
      <c r="M347" s="27">
        <v>348078018464</v>
      </c>
      <c r="N347">
        <v>1976</v>
      </c>
      <c r="O347">
        <v>1</v>
      </c>
      <c r="P347">
        <v>1</v>
      </c>
      <c r="Q347">
        <v>110.35</v>
      </c>
      <c r="R347">
        <v>81</v>
      </c>
      <c r="S347">
        <v>32.4</v>
      </c>
      <c r="T347">
        <v>23.8</v>
      </c>
      <c r="U347">
        <v>5818553</v>
      </c>
      <c r="V347" s="30"/>
      <c r="W347" s="25">
        <f ca="1">TODAY()</f>
        <v>46297</v>
      </c>
      <c r="X347" s="25">
        <f>DATE(N347,O347,P347)</f>
        <v>27760</v>
      </c>
    </row>
    <row r="348" spans="1:24" x14ac:dyDescent="0.3">
      <c r="A348">
        <v>365</v>
      </c>
      <c r="B348" t="s">
        <v>250</v>
      </c>
      <c r="C348" t="s">
        <v>1376</v>
      </c>
      <c r="D348" t="s">
        <v>1195</v>
      </c>
      <c r="E348" t="s">
        <v>1370</v>
      </c>
      <c r="F348" t="s">
        <v>1371</v>
      </c>
      <c r="G348" t="s">
        <v>250</v>
      </c>
      <c r="H348" t="b">
        <v>0</v>
      </c>
      <c r="I348" t="s">
        <v>1803</v>
      </c>
      <c r="J348" s="30">
        <f ca="1">YEARFRAC(W348,X348,1)</f>
        <v>47.750855578370981</v>
      </c>
      <c r="K348" t="s">
        <v>1377</v>
      </c>
      <c r="L348" s="32">
        <v>6700</v>
      </c>
      <c r="M348" s="27">
        <v>348078018464</v>
      </c>
      <c r="N348">
        <v>1979</v>
      </c>
      <c r="O348">
        <v>1</v>
      </c>
      <c r="P348">
        <v>1</v>
      </c>
      <c r="Q348">
        <v>110.35</v>
      </c>
      <c r="R348">
        <v>81</v>
      </c>
      <c r="S348">
        <v>32.4</v>
      </c>
      <c r="T348">
        <v>23.8</v>
      </c>
      <c r="U348">
        <v>5818553</v>
      </c>
      <c r="V348" s="30"/>
      <c r="W348" s="25">
        <f ca="1">TODAY()</f>
        <v>46297</v>
      </c>
      <c r="X348" s="25">
        <f>DATE(N348,O348,P348)</f>
        <v>28856</v>
      </c>
    </row>
    <row r="349" spans="1:24" x14ac:dyDescent="0.3">
      <c r="A349">
        <v>365</v>
      </c>
      <c r="B349" t="s">
        <v>351</v>
      </c>
      <c r="C349" t="s">
        <v>1378</v>
      </c>
      <c r="D349" t="s">
        <v>680</v>
      </c>
      <c r="E349" t="s">
        <v>1379</v>
      </c>
      <c r="F349" t="s">
        <v>517</v>
      </c>
      <c r="G349" t="s">
        <v>351</v>
      </c>
      <c r="H349" t="b">
        <v>0</v>
      </c>
      <c r="I349" t="s">
        <v>1804</v>
      </c>
      <c r="J349" s="30">
        <f ca="1">YEARFRAC(W349,X349,1)</f>
        <v>83.750855578370974</v>
      </c>
      <c r="K349" t="s">
        <v>1381</v>
      </c>
      <c r="L349" s="32">
        <v>6700</v>
      </c>
      <c r="M349" s="27">
        <v>2001244392042</v>
      </c>
      <c r="N349">
        <v>1943</v>
      </c>
      <c r="O349">
        <v>1</v>
      </c>
      <c r="P349">
        <v>1</v>
      </c>
      <c r="Q349">
        <v>110.62</v>
      </c>
      <c r="R349">
        <v>82.9</v>
      </c>
      <c r="S349">
        <v>24.3</v>
      </c>
      <c r="T349">
        <v>59.1</v>
      </c>
      <c r="U349">
        <v>60297396</v>
      </c>
      <c r="V349" s="30"/>
      <c r="W349" s="25">
        <f ca="1">TODAY()</f>
        <v>46297</v>
      </c>
      <c r="X349" s="25">
        <f>DATE(N349,O349,P349)</f>
        <v>15707</v>
      </c>
    </row>
    <row r="350" spans="1:24" x14ac:dyDescent="0.3">
      <c r="A350">
        <v>365</v>
      </c>
      <c r="B350" t="s">
        <v>30</v>
      </c>
      <c r="C350" t="s">
        <v>1382</v>
      </c>
      <c r="D350" t="s">
        <v>105</v>
      </c>
      <c r="E350" t="s">
        <v>214</v>
      </c>
      <c r="F350" t="s">
        <v>215</v>
      </c>
      <c r="G350" t="s">
        <v>30</v>
      </c>
      <c r="H350" t="b">
        <v>1</v>
      </c>
      <c r="I350" t="s">
        <v>1803</v>
      </c>
      <c r="J350" s="30">
        <f ca="1">YEARFRAC(W350,X350,1)</f>
        <v>58.750858468677492</v>
      </c>
      <c r="K350" t="s">
        <v>1383</v>
      </c>
      <c r="L350" s="32">
        <v>6700</v>
      </c>
      <c r="M350" s="27">
        <v>19910000000000</v>
      </c>
      <c r="N350">
        <v>1968</v>
      </c>
      <c r="O350">
        <v>1</v>
      </c>
      <c r="P350">
        <v>1</v>
      </c>
      <c r="Q350">
        <v>125.08</v>
      </c>
      <c r="R350">
        <v>77</v>
      </c>
      <c r="S350">
        <v>9.4</v>
      </c>
      <c r="T350">
        <v>59.2</v>
      </c>
      <c r="U350">
        <v>1397715000</v>
      </c>
      <c r="V350" s="30"/>
      <c r="W350" s="25">
        <f ca="1">TODAY()</f>
        <v>46297</v>
      </c>
      <c r="X350" s="25">
        <f>DATE(N350,O350,P350)</f>
        <v>24838</v>
      </c>
    </row>
    <row r="351" spans="1:24" x14ac:dyDescent="0.3">
      <c r="A351">
        <v>365</v>
      </c>
      <c r="B351" t="s">
        <v>250</v>
      </c>
      <c r="C351" t="s">
        <v>1384</v>
      </c>
      <c r="D351" t="s">
        <v>105</v>
      </c>
      <c r="E351" t="s">
        <v>106</v>
      </c>
      <c r="F351" t="s">
        <v>1385</v>
      </c>
      <c r="G351" t="s">
        <v>250</v>
      </c>
      <c r="H351" t="b">
        <v>1</v>
      </c>
      <c r="I351" t="s">
        <v>1803</v>
      </c>
      <c r="J351" s="30">
        <f ca="1">YEARFRAC(W351,X351,1)</f>
        <v>64.170422475885601</v>
      </c>
      <c r="K351" t="s">
        <v>942</v>
      </c>
      <c r="L351" s="32">
        <v>6700</v>
      </c>
      <c r="M351" s="27">
        <v>19910000000000</v>
      </c>
      <c r="N351">
        <v>1962</v>
      </c>
      <c r="O351">
        <v>8</v>
      </c>
      <c r="P351">
        <v>1</v>
      </c>
      <c r="Q351">
        <v>125.08</v>
      </c>
      <c r="R351">
        <v>77</v>
      </c>
      <c r="S351">
        <v>9.4</v>
      </c>
      <c r="T351">
        <v>59.2</v>
      </c>
      <c r="U351">
        <v>1397715000</v>
      </c>
      <c r="V351" s="30"/>
      <c r="W351" s="25">
        <f ca="1">TODAY()</f>
        <v>46297</v>
      </c>
      <c r="X351" s="25">
        <f>DATE(N351,O351,P351)</f>
        <v>22859</v>
      </c>
    </row>
    <row r="352" spans="1:24" x14ac:dyDescent="0.3">
      <c r="A352">
        <v>365</v>
      </c>
      <c r="B352" t="s">
        <v>250</v>
      </c>
      <c r="C352" t="s">
        <v>1387</v>
      </c>
      <c r="D352" t="s">
        <v>170</v>
      </c>
      <c r="E352" t="s">
        <v>1388</v>
      </c>
      <c r="F352" t="s">
        <v>348</v>
      </c>
      <c r="G352" t="s">
        <v>250</v>
      </c>
      <c r="H352" t="b">
        <v>0</v>
      </c>
      <c r="I352" t="s">
        <v>1804</v>
      </c>
      <c r="J352" s="30">
        <f ca="1">YEARFRAC(W352,X352,1)</f>
        <v>57.750849697885194</v>
      </c>
      <c r="K352" t="s">
        <v>1390</v>
      </c>
      <c r="L352" s="32">
        <v>6700</v>
      </c>
      <c r="M352" s="27">
        <v>703082435360</v>
      </c>
      <c r="N352">
        <v>1969</v>
      </c>
      <c r="O352">
        <v>1</v>
      </c>
      <c r="P352">
        <v>1</v>
      </c>
      <c r="Q352">
        <v>99.55</v>
      </c>
      <c r="R352">
        <v>83.6</v>
      </c>
      <c r="S352">
        <v>10.1</v>
      </c>
      <c r="T352">
        <v>28.8</v>
      </c>
      <c r="U352">
        <v>8574832</v>
      </c>
      <c r="V352" s="30"/>
      <c r="W352" s="25">
        <f ca="1">TODAY()</f>
        <v>46297</v>
      </c>
      <c r="X352" s="25">
        <f>DATE(N352,O352,P352)</f>
        <v>25204</v>
      </c>
    </row>
    <row r="353" spans="1:24" x14ac:dyDescent="0.3">
      <c r="A353">
        <v>365</v>
      </c>
      <c r="B353" t="s">
        <v>65</v>
      </c>
      <c r="C353" t="s">
        <v>1391</v>
      </c>
      <c r="D353" t="s">
        <v>23</v>
      </c>
      <c r="E353" t="s">
        <v>24</v>
      </c>
      <c r="F353" t="s">
        <v>358</v>
      </c>
      <c r="G353" t="s">
        <v>65</v>
      </c>
      <c r="H353" t="b">
        <v>1</v>
      </c>
      <c r="I353" t="s">
        <v>1803</v>
      </c>
      <c r="J353" s="30">
        <f ca="1">YEARFRAC(W353,X353,1)</f>
        <v>59.104722792607802</v>
      </c>
      <c r="K353" t="s">
        <v>1393</v>
      </c>
      <c r="L353" s="32">
        <v>6700</v>
      </c>
      <c r="M353" s="27">
        <v>2715518274227</v>
      </c>
      <c r="N353">
        <v>1967</v>
      </c>
      <c r="O353">
        <v>8</v>
      </c>
      <c r="P353">
        <v>25</v>
      </c>
      <c r="Q353">
        <v>110.05</v>
      </c>
      <c r="R353">
        <v>82.5</v>
      </c>
      <c r="S353">
        <v>24.2</v>
      </c>
      <c r="T353">
        <v>60.7</v>
      </c>
      <c r="U353">
        <v>67059887</v>
      </c>
      <c r="V353" s="30"/>
      <c r="W353" s="25">
        <f ca="1">TODAY()</f>
        <v>46297</v>
      </c>
      <c r="X353" s="25">
        <f>DATE(N353,O353,P353)</f>
        <v>24709</v>
      </c>
    </row>
    <row r="354" spans="1:24" x14ac:dyDescent="0.3">
      <c r="A354">
        <v>365</v>
      </c>
      <c r="B354" t="s">
        <v>292</v>
      </c>
      <c r="C354" t="s">
        <v>1394</v>
      </c>
      <c r="D354" t="s">
        <v>32</v>
      </c>
      <c r="E354" t="s">
        <v>1395</v>
      </c>
      <c r="F354" t="s">
        <v>1396</v>
      </c>
      <c r="G354" t="s">
        <v>292</v>
      </c>
      <c r="H354" t="b">
        <v>1</v>
      </c>
      <c r="I354" t="s">
        <v>1803</v>
      </c>
      <c r="J354" s="30">
        <f ca="1">YEARFRAC(W354,X354,1)</f>
        <v>75.518138261464756</v>
      </c>
      <c r="K354" t="s">
        <v>1398</v>
      </c>
      <c r="L354" s="32">
        <v>6700</v>
      </c>
      <c r="M354" s="27">
        <v>21427700000000</v>
      </c>
      <c r="N354">
        <v>1951</v>
      </c>
      <c r="O354">
        <v>3</v>
      </c>
      <c r="P354">
        <v>27</v>
      </c>
      <c r="Q354">
        <v>117.24</v>
      </c>
      <c r="R354">
        <v>78.5</v>
      </c>
      <c r="S354">
        <v>9.6</v>
      </c>
      <c r="T354">
        <v>36.6</v>
      </c>
      <c r="U354">
        <v>328239523</v>
      </c>
      <c r="V354" s="30"/>
      <c r="W354" s="25">
        <f ca="1">TODAY()</f>
        <v>46297</v>
      </c>
      <c r="X354" s="25">
        <f>DATE(N354,O354,P354)</f>
        <v>18714</v>
      </c>
    </row>
    <row r="355" spans="1:24" x14ac:dyDescent="0.3">
      <c r="A355">
        <v>365</v>
      </c>
      <c r="B355" t="s">
        <v>462</v>
      </c>
      <c r="C355" t="s">
        <v>1399</v>
      </c>
      <c r="D355" t="s">
        <v>32</v>
      </c>
      <c r="E355" t="s">
        <v>831</v>
      </c>
      <c r="F355" t="s">
        <v>465</v>
      </c>
      <c r="G355" t="s">
        <v>462</v>
      </c>
      <c r="H355" t="b">
        <v>0</v>
      </c>
      <c r="I355" t="s">
        <v>1803</v>
      </c>
      <c r="J355" s="30">
        <f ca="1">YEARFRAC(W355,X355,1)</f>
        <v>87.770695542498544</v>
      </c>
      <c r="K355" t="s">
        <v>1340</v>
      </c>
      <c r="L355" s="32">
        <v>6700</v>
      </c>
      <c r="M355" s="27">
        <v>21427700000000</v>
      </c>
      <c r="N355">
        <v>1938</v>
      </c>
      <c r="O355">
        <v>12</v>
      </c>
      <c r="P355">
        <v>25</v>
      </c>
      <c r="Q355">
        <v>117.24</v>
      </c>
      <c r="R355">
        <v>78.5</v>
      </c>
      <c r="S355">
        <v>9.6</v>
      </c>
      <c r="T355">
        <v>36.6</v>
      </c>
      <c r="U355">
        <v>328239523</v>
      </c>
      <c r="V355" s="30"/>
      <c r="W355" s="25">
        <f ca="1">TODAY()</f>
        <v>46297</v>
      </c>
      <c r="X355" s="25">
        <f>DATE(N355,O355,P355)</f>
        <v>14239</v>
      </c>
    </row>
    <row r="356" spans="1:24" x14ac:dyDescent="0.3">
      <c r="A356">
        <v>365</v>
      </c>
      <c r="B356" t="s">
        <v>462</v>
      </c>
      <c r="C356" t="s">
        <v>1401</v>
      </c>
      <c r="D356" t="s">
        <v>32</v>
      </c>
      <c r="E356" t="s">
        <v>503</v>
      </c>
      <c r="F356" t="s">
        <v>465</v>
      </c>
      <c r="G356" t="s">
        <v>462</v>
      </c>
      <c r="H356" t="b">
        <v>1</v>
      </c>
      <c r="I356" t="s">
        <v>1803</v>
      </c>
      <c r="J356" s="30">
        <f ca="1">YEARFRAC(W356,X356,1)</f>
        <v>87.362080766598226</v>
      </c>
      <c r="K356" t="s">
        <v>1403</v>
      </c>
      <c r="L356" s="32">
        <v>6700</v>
      </c>
      <c r="M356" s="27">
        <v>21427700000000</v>
      </c>
      <c r="N356">
        <v>1939</v>
      </c>
      <c r="O356">
        <v>5</v>
      </c>
      <c r="P356">
        <v>23</v>
      </c>
      <c r="Q356">
        <v>117.24</v>
      </c>
      <c r="R356">
        <v>78.5</v>
      </c>
      <c r="S356">
        <v>9.6</v>
      </c>
      <c r="T356">
        <v>36.6</v>
      </c>
      <c r="U356">
        <v>328239523</v>
      </c>
      <c r="V356" s="30"/>
      <c r="W356" s="25">
        <f ca="1">TODAY()</f>
        <v>46297</v>
      </c>
      <c r="X356" s="25">
        <f>DATE(N356,O356,P356)</f>
        <v>14388</v>
      </c>
    </row>
    <row r="357" spans="1:24" x14ac:dyDescent="0.3">
      <c r="A357">
        <v>365</v>
      </c>
      <c r="B357" t="s">
        <v>49</v>
      </c>
      <c r="C357" t="s">
        <v>1404</v>
      </c>
      <c r="D357" t="s">
        <v>32</v>
      </c>
      <c r="E357" t="s">
        <v>1405</v>
      </c>
      <c r="F357" t="s">
        <v>204</v>
      </c>
      <c r="G357" t="s">
        <v>49</v>
      </c>
      <c r="H357" t="b">
        <v>1</v>
      </c>
      <c r="I357" t="s">
        <v>1803</v>
      </c>
      <c r="J357" s="30">
        <f ca="1">YEARFRAC(W357,X357,1)</f>
        <v>96.140308786587255</v>
      </c>
      <c r="K357" t="s">
        <v>600</v>
      </c>
      <c r="L357" s="32">
        <v>6700</v>
      </c>
      <c r="M357" s="27">
        <v>21427700000000</v>
      </c>
      <c r="N357">
        <v>1930</v>
      </c>
      <c r="O357">
        <v>8</v>
      </c>
      <c r="P357">
        <v>12</v>
      </c>
      <c r="Q357">
        <v>117.24</v>
      </c>
      <c r="R357">
        <v>78.5</v>
      </c>
      <c r="S357">
        <v>9.6</v>
      </c>
      <c r="T357">
        <v>36.6</v>
      </c>
      <c r="U357">
        <v>328239523</v>
      </c>
      <c r="V357" s="30"/>
      <c r="W357" s="25">
        <f ca="1">TODAY()</f>
        <v>46297</v>
      </c>
      <c r="X357" s="25">
        <f>DATE(N357,O357,P357)</f>
        <v>11182</v>
      </c>
    </row>
    <row r="358" spans="1:24" x14ac:dyDescent="0.3">
      <c r="A358">
        <v>365</v>
      </c>
      <c r="B358" t="s">
        <v>38</v>
      </c>
      <c r="C358" t="s">
        <v>1407</v>
      </c>
      <c r="D358" t="s">
        <v>32</v>
      </c>
      <c r="E358" t="s">
        <v>1408</v>
      </c>
      <c r="F358" t="s">
        <v>1409</v>
      </c>
      <c r="G358" t="s">
        <v>38</v>
      </c>
      <c r="H358" t="b">
        <v>1</v>
      </c>
      <c r="I358" t="s">
        <v>1803</v>
      </c>
      <c r="J358" s="30">
        <f ca="1">YEARFRAC(W358,X358,1)</f>
        <v>74.973305954825463</v>
      </c>
      <c r="K358" t="s">
        <v>137</v>
      </c>
      <c r="L358" s="32">
        <v>6700</v>
      </c>
      <c r="M358" s="27">
        <v>21427700000000</v>
      </c>
      <c r="N358">
        <v>1951</v>
      </c>
      <c r="O358">
        <v>10</v>
      </c>
      <c r="P358">
        <v>12</v>
      </c>
      <c r="Q358">
        <v>117.24</v>
      </c>
      <c r="R358">
        <v>78.5</v>
      </c>
      <c r="S358">
        <v>9.6</v>
      </c>
      <c r="T358">
        <v>36.6</v>
      </c>
      <c r="U358">
        <v>328239523</v>
      </c>
      <c r="V358" s="30"/>
      <c r="W358" s="25">
        <f ca="1">TODAY()</f>
        <v>46297</v>
      </c>
      <c r="X358" s="25">
        <f>DATE(N358,O358,P358)</f>
        <v>18913</v>
      </c>
    </row>
    <row r="359" spans="1:24" x14ac:dyDescent="0.3">
      <c r="A359">
        <v>365</v>
      </c>
      <c r="B359" t="s">
        <v>250</v>
      </c>
      <c r="C359" t="s">
        <v>1410</v>
      </c>
      <c r="D359" t="s">
        <v>1195</v>
      </c>
      <c r="E359" t="s">
        <v>1370</v>
      </c>
      <c r="F359" t="s">
        <v>1371</v>
      </c>
      <c r="G359" t="s">
        <v>250</v>
      </c>
      <c r="H359" t="b">
        <v>0</v>
      </c>
      <c r="I359" t="s">
        <v>1804</v>
      </c>
      <c r="J359" s="30">
        <f ca="1">YEARFRAC(W359,X359,1)</f>
        <v>43.375770020533878</v>
      </c>
      <c r="K359" t="s">
        <v>1412</v>
      </c>
      <c r="L359" s="32">
        <v>6700</v>
      </c>
      <c r="M359" s="27">
        <v>348078018464</v>
      </c>
      <c r="N359">
        <v>1983</v>
      </c>
      <c r="O359">
        <v>5</v>
      </c>
      <c r="P359">
        <v>18</v>
      </c>
      <c r="Q359">
        <v>110.35</v>
      </c>
      <c r="R359">
        <v>81</v>
      </c>
      <c r="S359">
        <v>32.4</v>
      </c>
      <c r="T359">
        <v>23.8</v>
      </c>
      <c r="U359">
        <v>5818553</v>
      </c>
      <c r="V359" s="30"/>
      <c r="W359" s="25">
        <f ca="1">TODAY()</f>
        <v>46297</v>
      </c>
      <c r="X359" s="25">
        <f>DATE(N359,O359,P359)</f>
        <v>30454</v>
      </c>
    </row>
    <row r="360" spans="1:24" x14ac:dyDescent="0.3">
      <c r="A360">
        <v>365</v>
      </c>
      <c r="B360" t="s">
        <v>38</v>
      </c>
      <c r="C360" t="s">
        <v>1413</v>
      </c>
      <c r="D360" t="s">
        <v>32</v>
      </c>
      <c r="E360" t="s">
        <v>1414</v>
      </c>
      <c r="F360" t="s">
        <v>1409</v>
      </c>
      <c r="G360" t="s">
        <v>38</v>
      </c>
      <c r="H360" t="b">
        <v>1</v>
      </c>
      <c r="I360" t="s">
        <v>1803</v>
      </c>
      <c r="J360" s="30">
        <f ca="1">YEARFRAC(W360,X360,1)</f>
        <v>85.140301168380503</v>
      </c>
      <c r="K360" t="s">
        <v>190</v>
      </c>
      <c r="L360" s="32">
        <v>6700</v>
      </c>
      <c r="M360" s="27">
        <v>21427700000000</v>
      </c>
      <c r="N360">
        <v>1941</v>
      </c>
      <c r="O360">
        <v>8</v>
      </c>
      <c r="P360">
        <v>12</v>
      </c>
      <c r="Q360">
        <v>117.24</v>
      </c>
      <c r="R360">
        <v>78.5</v>
      </c>
      <c r="S360">
        <v>9.6</v>
      </c>
      <c r="T360">
        <v>36.6</v>
      </c>
      <c r="U360">
        <v>328239523</v>
      </c>
      <c r="V360" s="30"/>
      <c r="W360" s="25">
        <f ca="1">TODAY()</f>
        <v>46297</v>
      </c>
      <c r="X360" s="25">
        <f>DATE(N360,O360,P360)</f>
        <v>15200</v>
      </c>
    </row>
    <row r="361" spans="1:24" x14ac:dyDescent="0.3">
      <c r="A361">
        <v>365</v>
      </c>
      <c r="B361" t="s">
        <v>103</v>
      </c>
      <c r="C361" t="s">
        <v>1416</v>
      </c>
      <c r="D361" t="s">
        <v>105</v>
      </c>
      <c r="E361" t="s">
        <v>1061</v>
      </c>
      <c r="F361" t="s">
        <v>1417</v>
      </c>
      <c r="G361" t="s">
        <v>103</v>
      </c>
      <c r="H361" t="b">
        <v>1</v>
      </c>
      <c r="I361" t="s">
        <v>1803</v>
      </c>
      <c r="J361" s="30">
        <f ca="1">YEARFRAC(W361,X361,1)</f>
        <v>68.750853106896287</v>
      </c>
      <c r="K361" t="s">
        <v>1418</v>
      </c>
      <c r="L361" s="32">
        <v>6700</v>
      </c>
      <c r="M361" s="27">
        <v>19910000000000</v>
      </c>
      <c r="N361">
        <v>1958</v>
      </c>
      <c r="O361">
        <v>1</v>
      </c>
      <c r="P361">
        <v>1</v>
      </c>
      <c r="Q361">
        <v>125.08</v>
      </c>
      <c r="R361">
        <v>77</v>
      </c>
      <c r="S361">
        <v>9.4</v>
      </c>
      <c r="T361">
        <v>59.2</v>
      </c>
      <c r="U361">
        <v>1397715000</v>
      </c>
      <c r="V361" s="30"/>
      <c r="W361" s="25">
        <f ca="1">TODAY()</f>
        <v>46297</v>
      </c>
      <c r="X361" s="25">
        <f>DATE(N361,O361,P361)</f>
        <v>21186</v>
      </c>
    </row>
    <row r="362" spans="1:24" x14ac:dyDescent="0.3">
      <c r="A362">
        <v>383</v>
      </c>
      <c r="B362" t="s">
        <v>250</v>
      </c>
      <c r="C362" t="s">
        <v>1419</v>
      </c>
      <c r="D362" t="s">
        <v>170</v>
      </c>
      <c r="E362" t="s">
        <v>1420</v>
      </c>
      <c r="F362" t="s">
        <v>348</v>
      </c>
      <c r="G362" t="s">
        <v>250</v>
      </c>
      <c r="H362" t="b">
        <v>0</v>
      </c>
      <c r="I362" t="s">
        <v>1804</v>
      </c>
      <c r="J362" s="30">
        <f ca="1">YEARFRAC(W362,X362,1)</f>
        <v>50.750858922052821</v>
      </c>
      <c r="K362" t="s">
        <v>1422</v>
      </c>
      <c r="L362" s="32">
        <v>6600</v>
      </c>
      <c r="M362" s="27">
        <v>703082435360</v>
      </c>
      <c r="N362">
        <v>1976</v>
      </c>
      <c r="O362">
        <v>1</v>
      </c>
      <c r="P362">
        <v>1</v>
      </c>
      <c r="Q362">
        <v>99.55</v>
      </c>
      <c r="R362">
        <v>83.6</v>
      </c>
      <c r="S362">
        <v>10.1</v>
      </c>
      <c r="T362">
        <v>28.8</v>
      </c>
      <c r="U362">
        <v>8574832</v>
      </c>
      <c r="V362" s="30"/>
      <c r="W362" s="25">
        <f ca="1">TODAY()</f>
        <v>46297</v>
      </c>
      <c r="X362" s="25">
        <f>DATE(N362,O362,P362)</f>
        <v>27760</v>
      </c>
    </row>
    <row r="363" spans="1:24" x14ac:dyDescent="0.3">
      <c r="A363">
        <v>383</v>
      </c>
      <c r="B363" t="s">
        <v>103</v>
      </c>
      <c r="C363" t="s">
        <v>1423</v>
      </c>
      <c r="D363" t="s">
        <v>32</v>
      </c>
      <c r="E363" t="s">
        <v>984</v>
      </c>
      <c r="F363" t="s">
        <v>1424</v>
      </c>
      <c r="G363" t="s">
        <v>103</v>
      </c>
      <c r="H363" t="b">
        <v>0</v>
      </c>
      <c r="I363" t="s">
        <v>1803</v>
      </c>
      <c r="J363" s="30">
        <f ca="1">YEARFRAC(W363,X363,1)</f>
        <v>72.446948955481375</v>
      </c>
      <c r="K363" t="s">
        <v>1426</v>
      </c>
      <c r="L363" s="32">
        <v>6600</v>
      </c>
      <c r="M363" s="27">
        <v>21427700000000</v>
      </c>
      <c r="N363">
        <v>1954</v>
      </c>
      <c r="O363">
        <v>4</v>
      </c>
      <c r="P363">
        <v>22</v>
      </c>
      <c r="Q363">
        <v>117.24</v>
      </c>
      <c r="R363">
        <v>78.5</v>
      </c>
      <c r="S363">
        <v>9.6</v>
      </c>
      <c r="T363">
        <v>36.6</v>
      </c>
      <c r="U363">
        <v>328239523</v>
      </c>
      <c r="V363" s="30"/>
      <c r="W363" s="25">
        <f ca="1">TODAY()</f>
        <v>46297</v>
      </c>
      <c r="X363" s="25">
        <f>DATE(N363,O363,P363)</f>
        <v>19836</v>
      </c>
    </row>
    <row r="364" spans="1:24" x14ac:dyDescent="0.3">
      <c r="A364">
        <v>383</v>
      </c>
      <c r="B364" t="s">
        <v>103</v>
      </c>
      <c r="C364" t="s">
        <v>1427</v>
      </c>
      <c r="D364" t="s">
        <v>32</v>
      </c>
      <c r="E364" t="s">
        <v>984</v>
      </c>
      <c r="F364" t="s">
        <v>1424</v>
      </c>
      <c r="G364" t="s">
        <v>103</v>
      </c>
      <c r="H364" t="b">
        <v>0</v>
      </c>
      <c r="I364" t="s">
        <v>1803</v>
      </c>
      <c r="J364" s="30">
        <f ca="1">YEARFRAC(W364,X364,1)</f>
        <v>73.589314784667749</v>
      </c>
      <c r="K364" t="s">
        <v>1428</v>
      </c>
      <c r="L364" s="32">
        <v>6600</v>
      </c>
      <c r="M364" s="27">
        <v>21427700000000</v>
      </c>
      <c r="N364">
        <v>1953</v>
      </c>
      <c r="O364">
        <v>3</v>
      </c>
      <c r="P364">
        <v>1</v>
      </c>
      <c r="Q364">
        <v>117.24</v>
      </c>
      <c r="R364">
        <v>78.5</v>
      </c>
      <c r="S364">
        <v>9.6</v>
      </c>
      <c r="T364">
        <v>36.6</v>
      </c>
      <c r="U364">
        <v>328239523</v>
      </c>
      <c r="V364" s="30"/>
      <c r="W364" s="25">
        <f ca="1">TODAY()</f>
        <v>46297</v>
      </c>
      <c r="X364" s="25">
        <f>DATE(N364,O364,P364)</f>
        <v>19419</v>
      </c>
    </row>
    <row r="365" spans="1:24" x14ac:dyDescent="0.3">
      <c r="A365">
        <v>383</v>
      </c>
      <c r="B365" t="s">
        <v>103</v>
      </c>
      <c r="C365" t="s">
        <v>1429</v>
      </c>
      <c r="D365" t="s">
        <v>32</v>
      </c>
      <c r="E365" t="s">
        <v>1430</v>
      </c>
      <c r="F365" t="s">
        <v>1424</v>
      </c>
      <c r="G365" t="s">
        <v>103</v>
      </c>
      <c r="H365" t="b">
        <v>0</v>
      </c>
      <c r="I365" t="s">
        <v>1804</v>
      </c>
      <c r="J365" s="30">
        <f ca="1">YEARFRAC(W365,X365,1)</f>
        <v>70.792607802874741</v>
      </c>
      <c r="K365" t="s">
        <v>1432</v>
      </c>
      <c r="L365" s="32">
        <v>6600</v>
      </c>
      <c r="M365" s="27">
        <v>21427700000000</v>
      </c>
      <c r="N365">
        <v>1955</v>
      </c>
      <c r="O365">
        <v>12</v>
      </c>
      <c r="P365">
        <v>17</v>
      </c>
      <c r="Q365">
        <v>117.24</v>
      </c>
      <c r="R365">
        <v>78.5</v>
      </c>
      <c r="S365">
        <v>9.6</v>
      </c>
      <c r="T365">
        <v>36.6</v>
      </c>
      <c r="U365">
        <v>328239523</v>
      </c>
      <c r="V365" s="30"/>
      <c r="W365" s="25">
        <f ca="1">TODAY()</f>
        <v>46297</v>
      </c>
      <c r="X365" s="25">
        <f>DATE(N365,O365,P365)</f>
        <v>20440</v>
      </c>
    </row>
    <row r="366" spans="1:24" x14ac:dyDescent="0.3">
      <c r="A366">
        <v>383</v>
      </c>
      <c r="B366" t="s">
        <v>49</v>
      </c>
      <c r="C366" t="s">
        <v>1433</v>
      </c>
      <c r="D366" t="s">
        <v>32</v>
      </c>
      <c r="E366" t="s">
        <v>61</v>
      </c>
      <c r="F366" t="s">
        <v>204</v>
      </c>
      <c r="G366" t="s">
        <v>49</v>
      </c>
      <c r="H366" t="b">
        <v>1</v>
      </c>
      <c r="I366" t="s">
        <v>1803</v>
      </c>
      <c r="J366" s="30">
        <f ca="1">YEARFRAC(W366,X366,1)</f>
        <v>81.600267111853086</v>
      </c>
      <c r="K366" t="s">
        <v>1435</v>
      </c>
      <c r="L366" s="32">
        <v>6600</v>
      </c>
      <c r="M366" s="27">
        <v>21427700000000</v>
      </c>
      <c r="N366">
        <v>1945</v>
      </c>
      <c r="O366">
        <v>2</v>
      </c>
      <c r="P366">
        <v>25</v>
      </c>
      <c r="Q366">
        <v>117.24</v>
      </c>
      <c r="R366">
        <v>78.5</v>
      </c>
      <c r="S366">
        <v>9.6</v>
      </c>
      <c r="T366">
        <v>36.6</v>
      </c>
      <c r="U366">
        <v>328239523</v>
      </c>
      <c r="V366" s="30"/>
      <c r="W366" s="25">
        <f ca="1">TODAY()</f>
        <v>46297</v>
      </c>
      <c r="X366" s="25">
        <f>DATE(N366,O366,P366)</f>
        <v>16493</v>
      </c>
    </row>
    <row r="367" spans="1:24" x14ac:dyDescent="0.3">
      <c r="A367">
        <v>383</v>
      </c>
      <c r="B367" t="s">
        <v>38</v>
      </c>
      <c r="C367" t="s">
        <v>1436</v>
      </c>
      <c r="D367" t="s">
        <v>32</v>
      </c>
      <c r="E367" t="s">
        <v>1437</v>
      </c>
      <c r="F367" t="s">
        <v>387</v>
      </c>
      <c r="G367" t="s">
        <v>38</v>
      </c>
      <c r="H367" t="b">
        <v>1</v>
      </c>
      <c r="I367" t="s">
        <v>1803</v>
      </c>
      <c r="J367" s="30">
        <f ca="1">YEARFRAC(W367,X367,1)</f>
        <v>66.984257357973988</v>
      </c>
      <c r="K367" t="s">
        <v>1113</v>
      </c>
      <c r="L367" s="32">
        <v>6600</v>
      </c>
      <c r="M367" s="27">
        <v>21427700000000</v>
      </c>
      <c r="N367">
        <v>1959</v>
      </c>
      <c r="O367">
        <v>10</v>
      </c>
      <c r="P367">
        <v>8</v>
      </c>
      <c r="Q367">
        <v>117.24</v>
      </c>
      <c r="R367">
        <v>78.5</v>
      </c>
      <c r="S367">
        <v>9.6</v>
      </c>
      <c r="T367">
        <v>36.6</v>
      </c>
      <c r="U367">
        <v>328239523</v>
      </c>
      <c r="V367" s="30"/>
      <c r="W367" s="25">
        <f ca="1">TODAY()</f>
        <v>46297</v>
      </c>
      <c r="X367" s="25">
        <f>DATE(N367,O367,P367)</f>
        <v>21831</v>
      </c>
    </row>
    <row r="368" spans="1:24" x14ac:dyDescent="0.3">
      <c r="A368">
        <v>383</v>
      </c>
      <c r="B368" t="s">
        <v>49</v>
      </c>
      <c r="C368" t="s">
        <v>1439</v>
      </c>
      <c r="D368" t="s">
        <v>158</v>
      </c>
      <c r="E368" t="s">
        <v>1440</v>
      </c>
      <c r="F368" t="s">
        <v>264</v>
      </c>
      <c r="G368" t="s">
        <v>49</v>
      </c>
      <c r="H368" t="b">
        <v>0</v>
      </c>
      <c r="I368" t="s">
        <v>1804</v>
      </c>
      <c r="J368" s="30">
        <f ca="1">YEARFRAC(W368,X368,1)</f>
        <v>50.734432037792573</v>
      </c>
      <c r="K368" t="s">
        <v>1442</v>
      </c>
      <c r="L368" s="32">
        <v>6600</v>
      </c>
      <c r="M368" s="27">
        <v>3845630030824</v>
      </c>
      <c r="N368">
        <v>1976</v>
      </c>
      <c r="O368">
        <v>1</v>
      </c>
      <c r="P368">
        <v>7</v>
      </c>
      <c r="Q368">
        <v>112.85</v>
      </c>
      <c r="R368">
        <v>80.900000000000006</v>
      </c>
      <c r="S368">
        <v>11.5</v>
      </c>
      <c r="T368">
        <v>48.8</v>
      </c>
      <c r="U368">
        <v>83132799</v>
      </c>
      <c r="V368" s="30"/>
      <c r="W368" s="25">
        <f ca="1">TODAY()</f>
        <v>46297</v>
      </c>
      <c r="X368" s="25">
        <f>DATE(N368,O368,P368)</f>
        <v>27766</v>
      </c>
    </row>
    <row r="369" spans="1:24" x14ac:dyDescent="0.3">
      <c r="A369">
        <v>390</v>
      </c>
      <c r="B369" t="s">
        <v>49</v>
      </c>
      <c r="C369" t="s">
        <v>1443</v>
      </c>
      <c r="D369" t="s">
        <v>32</v>
      </c>
      <c r="E369" t="s">
        <v>130</v>
      </c>
      <c r="F369" t="s">
        <v>802</v>
      </c>
      <c r="G369" t="s">
        <v>49</v>
      </c>
      <c r="H369" t="b">
        <v>1</v>
      </c>
      <c r="I369" t="s">
        <v>1803</v>
      </c>
      <c r="J369" s="30">
        <f ca="1">YEARFRAC(W369,X369,1)</f>
        <v>83.847355536945173</v>
      </c>
      <c r="K369" t="s">
        <v>137</v>
      </c>
      <c r="L369" s="32">
        <v>6500</v>
      </c>
      <c r="M369" s="27">
        <v>21427700000000</v>
      </c>
      <c r="N369">
        <v>1942</v>
      </c>
      <c r="O369">
        <v>11</v>
      </c>
      <c r="P369">
        <v>27</v>
      </c>
      <c r="Q369">
        <v>117.24</v>
      </c>
      <c r="R369">
        <v>78.5</v>
      </c>
      <c r="S369">
        <v>9.6</v>
      </c>
      <c r="T369">
        <v>36.6</v>
      </c>
      <c r="U369">
        <v>328239523</v>
      </c>
      <c r="V369" s="30"/>
      <c r="W369" s="25">
        <f ca="1">TODAY()</f>
        <v>46297</v>
      </c>
      <c r="X369" s="25">
        <f>DATE(N369,O369,P369)</f>
        <v>15672</v>
      </c>
    </row>
    <row r="370" spans="1:24" x14ac:dyDescent="0.3">
      <c r="A370">
        <v>390</v>
      </c>
      <c r="B370" t="s">
        <v>38</v>
      </c>
      <c r="C370" t="s">
        <v>1445</v>
      </c>
      <c r="D370" t="s">
        <v>32</v>
      </c>
      <c r="E370" t="s">
        <v>40</v>
      </c>
      <c r="F370" t="s">
        <v>56</v>
      </c>
      <c r="G370" t="s">
        <v>38</v>
      </c>
      <c r="H370" t="b">
        <v>0</v>
      </c>
      <c r="I370" t="s">
        <v>1804</v>
      </c>
      <c r="J370" s="30">
        <f ca="1">YEARFRAC(W370,X370,1)</f>
        <v>62.129372908608929</v>
      </c>
      <c r="K370" t="s">
        <v>1447</v>
      </c>
      <c r="L370" s="32">
        <v>6500</v>
      </c>
      <c r="M370" s="27">
        <v>21427700000000</v>
      </c>
      <c r="N370">
        <v>1964</v>
      </c>
      <c r="O370">
        <v>8</v>
      </c>
      <c r="P370">
        <v>15</v>
      </c>
      <c r="Q370">
        <v>117.24</v>
      </c>
      <c r="R370">
        <v>78.5</v>
      </c>
      <c r="S370">
        <v>9.6</v>
      </c>
      <c r="T370">
        <v>36.6</v>
      </c>
      <c r="U370">
        <v>328239523</v>
      </c>
      <c r="V370" s="30"/>
      <c r="W370" s="25">
        <f ca="1">TODAY()</f>
        <v>46297</v>
      </c>
      <c r="X370" s="25">
        <f>DATE(N370,O370,P370)</f>
        <v>23604</v>
      </c>
    </row>
    <row r="371" spans="1:24" x14ac:dyDescent="0.3">
      <c r="A371">
        <v>390</v>
      </c>
      <c r="B371" t="s">
        <v>462</v>
      </c>
      <c r="C371" t="s">
        <v>1448</v>
      </c>
      <c r="D371" t="s">
        <v>32</v>
      </c>
      <c r="E371" t="s">
        <v>1449</v>
      </c>
      <c r="F371" t="s">
        <v>465</v>
      </c>
      <c r="G371" t="s">
        <v>462</v>
      </c>
      <c r="H371" t="b">
        <v>0</v>
      </c>
      <c r="I371" t="s">
        <v>1804</v>
      </c>
      <c r="J371" s="30">
        <f ca="1">YEARFRAC(W371,X371,1)</f>
        <v>96.594795224251314</v>
      </c>
      <c r="K371" t="s">
        <v>1451</v>
      </c>
      <c r="L371" s="32">
        <v>6500</v>
      </c>
      <c r="M371" s="27">
        <v>21427700000000</v>
      </c>
      <c r="N371">
        <v>1930</v>
      </c>
      <c r="O371">
        <v>2</v>
      </c>
      <c r="P371">
        <v>27</v>
      </c>
      <c r="Q371">
        <v>117.24</v>
      </c>
      <c r="R371">
        <v>78.5</v>
      </c>
      <c r="S371">
        <v>9.6</v>
      </c>
      <c r="T371">
        <v>36.6</v>
      </c>
      <c r="U371">
        <v>328239523</v>
      </c>
      <c r="V371" s="30"/>
      <c r="W371" s="25">
        <f ca="1">TODAY()</f>
        <v>46297</v>
      </c>
      <c r="X371" s="25">
        <f>DATE(N371,O371,P371)</f>
        <v>11016</v>
      </c>
    </row>
    <row r="372" spans="1:24" x14ac:dyDescent="0.3">
      <c r="A372">
        <v>390</v>
      </c>
      <c r="B372" t="s">
        <v>462</v>
      </c>
      <c r="C372" t="s">
        <v>1452</v>
      </c>
      <c r="D372" t="s">
        <v>226</v>
      </c>
      <c r="E372" t="s">
        <v>227</v>
      </c>
      <c r="F372" t="s">
        <v>1453</v>
      </c>
      <c r="G372" t="s">
        <v>462</v>
      </c>
      <c r="H372" t="b">
        <v>1</v>
      </c>
      <c r="I372" t="s">
        <v>1803</v>
      </c>
      <c r="J372" s="30">
        <f ca="1">YEARFRAC(W372,X372,1)</f>
        <v>88.085550804442121</v>
      </c>
      <c r="K372" t="s">
        <v>137</v>
      </c>
      <c r="L372" s="32">
        <v>6500</v>
      </c>
      <c r="M372" s="27">
        <v>2827113184696</v>
      </c>
      <c r="N372">
        <v>1938</v>
      </c>
      <c r="O372">
        <v>9</v>
      </c>
      <c r="P372">
        <v>1</v>
      </c>
      <c r="Q372">
        <v>119.62</v>
      </c>
      <c r="R372">
        <v>81.3</v>
      </c>
      <c r="S372">
        <v>25.5</v>
      </c>
      <c r="T372">
        <v>30.6</v>
      </c>
      <c r="U372">
        <v>66834405</v>
      </c>
      <c r="V372" s="30"/>
      <c r="W372" s="25">
        <f ca="1">TODAY()</f>
        <v>46297</v>
      </c>
      <c r="X372" s="25">
        <f>DATE(N372,O372,P372)</f>
        <v>14124</v>
      </c>
    </row>
    <row r="373" spans="1:24" x14ac:dyDescent="0.3">
      <c r="A373">
        <v>390</v>
      </c>
      <c r="B373" t="s">
        <v>462</v>
      </c>
      <c r="C373" t="s">
        <v>1455</v>
      </c>
      <c r="D373" t="s">
        <v>170</v>
      </c>
      <c r="E373" t="s">
        <v>1456</v>
      </c>
      <c r="F373" t="s">
        <v>465</v>
      </c>
      <c r="G373" t="s">
        <v>462</v>
      </c>
      <c r="H373" t="b">
        <v>1</v>
      </c>
      <c r="I373" t="s">
        <v>1803</v>
      </c>
      <c r="J373" s="30">
        <f ca="1">YEARFRAC(W373,X373,1)</f>
        <v>55.446954140999317</v>
      </c>
      <c r="K373" t="s">
        <v>1458</v>
      </c>
      <c r="L373" s="32">
        <v>6500</v>
      </c>
      <c r="M373" s="27">
        <v>703082435360</v>
      </c>
      <c r="N373">
        <v>1971</v>
      </c>
      <c r="O373">
        <v>4</v>
      </c>
      <c r="P373">
        <v>22</v>
      </c>
      <c r="Q373">
        <v>99.55</v>
      </c>
      <c r="R373">
        <v>83.6</v>
      </c>
      <c r="S373">
        <v>10.1</v>
      </c>
      <c r="T373">
        <v>28.8</v>
      </c>
      <c r="U373">
        <v>8574832</v>
      </c>
      <c r="V373" s="30"/>
      <c r="W373" s="25">
        <f ca="1">TODAY()</f>
        <v>46297</v>
      </c>
      <c r="X373" s="25">
        <f>DATE(N373,O373,P373)</f>
        <v>26045</v>
      </c>
    </row>
    <row r="374" spans="1:24" x14ac:dyDescent="0.3">
      <c r="A374">
        <v>397</v>
      </c>
      <c r="B374" t="s">
        <v>49</v>
      </c>
      <c r="C374" t="s">
        <v>1459</v>
      </c>
      <c r="D374" t="s">
        <v>497</v>
      </c>
      <c r="E374" t="s">
        <v>1460</v>
      </c>
      <c r="F374" t="s">
        <v>264</v>
      </c>
      <c r="G374" t="s">
        <v>49</v>
      </c>
      <c r="H374" t="b">
        <v>1</v>
      </c>
      <c r="I374" t="s">
        <v>1803</v>
      </c>
      <c r="J374" s="30">
        <f ca="1">YEARFRAC(W374,X374,1)</f>
        <v>75.121149897330596</v>
      </c>
      <c r="K374" t="s">
        <v>457</v>
      </c>
      <c r="L374" s="32">
        <v>6400</v>
      </c>
      <c r="M374" s="27">
        <v>530832908738</v>
      </c>
      <c r="N374">
        <v>1951</v>
      </c>
      <c r="O374">
        <v>8</v>
      </c>
      <c r="P374">
        <v>19</v>
      </c>
      <c r="Q374">
        <v>110.51</v>
      </c>
      <c r="R374">
        <v>82.5</v>
      </c>
      <c r="S374">
        <v>27.9</v>
      </c>
      <c r="T374">
        <v>49.1</v>
      </c>
      <c r="U374">
        <v>10285453</v>
      </c>
      <c r="V374" s="30"/>
      <c r="W374" s="25">
        <f ca="1">TODAY()</f>
        <v>46297</v>
      </c>
      <c r="X374" s="25">
        <f>DATE(N374,O374,P374)</f>
        <v>18859</v>
      </c>
    </row>
    <row r="375" spans="1:24" x14ac:dyDescent="0.3">
      <c r="A375">
        <v>397</v>
      </c>
      <c r="B375" t="s">
        <v>590</v>
      </c>
      <c r="C375" t="s">
        <v>1462</v>
      </c>
      <c r="D375" t="s">
        <v>32</v>
      </c>
      <c r="E375" t="s">
        <v>1285</v>
      </c>
      <c r="F375" t="s">
        <v>1463</v>
      </c>
      <c r="G375" t="s">
        <v>590</v>
      </c>
      <c r="H375" t="b">
        <v>1</v>
      </c>
      <c r="I375" t="s">
        <v>1803</v>
      </c>
      <c r="J375" s="30">
        <f ca="1">YEARFRAC(W375,X375,1)</f>
        <v>66.477075841778358</v>
      </c>
      <c r="K375" t="s">
        <v>266</v>
      </c>
      <c r="L375" s="32">
        <v>6400</v>
      </c>
      <c r="M375" s="27">
        <v>21427700000000</v>
      </c>
      <c r="N375">
        <v>1960</v>
      </c>
      <c r="O375">
        <v>4</v>
      </c>
      <c r="P375">
        <v>10</v>
      </c>
      <c r="Q375">
        <v>117.24</v>
      </c>
      <c r="R375">
        <v>78.5</v>
      </c>
      <c r="S375">
        <v>9.6</v>
      </c>
      <c r="T375">
        <v>36.6</v>
      </c>
      <c r="U375">
        <v>328239523</v>
      </c>
      <c r="V375" s="30"/>
      <c r="W375" s="25">
        <f ca="1">TODAY()</f>
        <v>46297</v>
      </c>
      <c r="X375" s="25">
        <f>DATE(N375,O375,P375)</f>
        <v>22016</v>
      </c>
    </row>
    <row r="376" spans="1:24" x14ac:dyDescent="0.3">
      <c r="A376">
        <v>397</v>
      </c>
      <c r="B376" t="s">
        <v>49</v>
      </c>
      <c r="C376" t="s">
        <v>1465</v>
      </c>
      <c r="D376" t="s">
        <v>32</v>
      </c>
      <c r="E376" t="s">
        <v>61</v>
      </c>
      <c r="F376" t="s">
        <v>204</v>
      </c>
      <c r="G376" t="s">
        <v>49</v>
      </c>
      <c r="H376" t="b">
        <v>1</v>
      </c>
      <c r="I376" t="s">
        <v>1803</v>
      </c>
      <c r="J376" s="30">
        <f ca="1">YEARFRAC(W376,X376,1)</f>
        <v>73.301835133935185</v>
      </c>
      <c r="K376" t="s">
        <v>617</v>
      </c>
      <c r="L376" s="32">
        <v>6400</v>
      </c>
      <c r="M376" s="27">
        <v>21427700000000</v>
      </c>
      <c r="N376">
        <v>1953</v>
      </c>
      <c r="O376">
        <v>6</v>
      </c>
      <c r="P376">
        <v>14</v>
      </c>
      <c r="Q376">
        <v>117.24</v>
      </c>
      <c r="R376">
        <v>78.5</v>
      </c>
      <c r="S376">
        <v>9.6</v>
      </c>
      <c r="T376">
        <v>36.6</v>
      </c>
      <c r="U376">
        <v>328239523</v>
      </c>
      <c r="V376" s="30"/>
      <c r="W376" s="25">
        <f ca="1">TODAY()</f>
        <v>46297</v>
      </c>
      <c r="X376" s="25">
        <f>DATE(N376,O376,P376)</f>
        <v>19524</v>
      </c>
    </row>
    <row r="377" spans="1:24" x14ac:dyDescent="0.3">
      <c r="A377">
        <v>397</v>
      </c>
      <c r="B377" t="s">
        <v>351</v>
      </c>
      <c r="C377" t="s">
        <v>1467</v>
      </c>
      <c r="D377" t="s">
        <v>105</v>
      </c>
      <c r="E377" t="s">
        <v>153</v>
      </c>
      <c r="F377" t="s">
        <v>1468</v>
      </c>
      <c r="G377" t="s">
        <v>351</v>
      </c>
      <c r="H377" t="b">
        <v>1</v>
      </c>
      <c r="I377" t="s">
        <v>1804</v>
      </c>
      <c r="J377" s="30">
        <f ca="1">YEARFRAC(W377,X377,1)</f>
        <v>62.918548939082818</v>
      </c>
      <c r="K377" t="s">
        <v>808</v>
      </c>
      <c r="L377" s="32">
        <v>6400</v>
      </c>
      <c r="M377" s="27">
        <v>19910000000000</v>
      </c>
      <c r="N377">
        <v>1963</v>
      </c>
      <c r="O377">
        <v>11</v>
      </c>
      <c r="P377">
        <v>1</v>
      </c>
      <c r="Q377">
        <v>125.08</v>
      </c>
      <c r="R377">
        <v>77</v>
      </c>
      <c r="S377">
        <v>9.4</v>
      </c>
      <c r="T377">
        <v>59.2</v>
      </c>
      <c r="U377">
        <v>1397715000</v>
      </c>
      <c r="V377" s="30"/>
      <c r="W377" s="25">
        <f ca="1">TODAY()</f>
        <v>46297</v>
      </c>
      <c r="X377" s="25">
        <f>DATE(N377,O377,P377)</f>
        <v>23316</v>
      </c>
    </row>
    <row r="378" spans="1:24" x14ac:dyDescent="0.3">
      <c r="A378">
        <v>397</v>
      </c>
      <c r="B378" t="s">
        <v>292</v>
      </c>
      <c r="C378" t="s">
        <v>1470</v>
      </c>
      <c r="D378" t="s">
        <v>23</v>
      </c>
      <c r="E378" t="s">
        <v>24</v>
      </c>
      <c r="F378" t="s">
        <v>619</v>
      </c>
      <c r="G378" t="s">
        <v>292</v>
      </c>
      <c r="H378" t="b">
        <v>1</v>
      </c>
      <c r="I378" t="s">
        <v>1803</v>
      </c>
      <c r="J378" s="30">
        <f ca="1">YEARFRAC(W378,X378,1)</f>
        <v>63.965081504570151</v>
      </c>
      <c r="K378" t="s">
        <v>1472</v>
      </c>
      <c r="L378" s="32">
        <v>6400</v>
      </c>
      <c r="M378" s="27">
        <v>2715518274227</v>
      </c>
      <c r="N378">
        <v>1962</v>
      </c>
      <c r="O378">
        <v>10</v>
      </c>
      <c r="P378">
        <v>15</v>
      </c>
      <c r="Q378">
        <v>110.05</v>
      </c>
      <c r="R378">
        <v>82.5</v>
      </c>
      <c r="S378">
        <v>24.2</v>
      </c>
      <c r="T378">
        <v>60.7</v>
      </c>
      <c r="U378">
        <v>67059887</v>
      </c>
      <c r="V378" s="30"/>
      <c r="W378" s="25">
        <f ca="1">TODAY()</f>
        <v>46297</v>
      </c>
      <c r="X378" s="25">
        <f>DATE(N378,O378,P378)</f>
        <v>22934</v>
      </c>
    </row>
    <row r="379" spans="1:24" x14ac:dyDescent="0.3">
      <c r="A379">
        <v>397</v>
      </c>
      <c r="B379" t="s">
        <v>49</v>
      </c>
      <c r="C379" t="s">
        <v>1473</v>
      </c>
      <c r="D379" t="s">
        <v>1474</v>
      </c>
      <c r="E379" t="s">
        <v>1475</v>
      </c>
      <c r="F379" t="s">
        <v>478</v>
      </c>
      <c r="G379" t="s">
        <v>49</v>
      </c>
      <c r="H379" t="b">
        <v>1</v>
      </c>
      <c r="I379" t="s">
        <v>1803</v>
      </c>
      <c r="J379" s="30">
        <f ca="1">YEARFRAC(W379,X379,1)</f>
        <v>93.679666792881477</v>
      </c>
      <c r="K379" t="s">
        <v>1477</v>
      </c>
      <c r="L379" s="32">
        <v>6400</v>
      </c>
      <c r="M379" s="27">
        <v>323802808108</v>
      </c>
      <c r="N379">
        <v>1933</v>
      </c>
      <c r="O379">
        <v>1</v>
      </c>
      <c r="P379">
        <v>27</v>
      </c>
      <c r="Q379">
        <v>140.94999999999999</v>
      </c>
      <c r="R379">
        <v>77.099999999999994</v>
      </c>
      <c r="S379">
        <v>14.4</v>
      </c>
      <c r="T379">
        <v>71.2</v>
      </c>
      <c r="U379">
        <v>50339443</v>
      </c>
      <c r="V379" s="30"/>
      <c r="W379" s="25">
        <f ca="1">TODAY()</f>
        <v>46297</v>
      </c>
      <c r="X379" s="25">
        <f>DATE(N379,O379,P379)</f>
        <v>12081</v>
      </c>
    </row>
    <row r="380" spans="1:24" x14ac:dyDescent="0.3">
      <c r="A380">
        <v>397</v>
      </c>
      <c r="B380" t="s">
        <v>168</v>
      </c>
      <c r="C380" t="s">
        <v>1479</v>
      </c>
      <c r="D380" t="s">
        <v>32</v>
      </c>
      <c r="E380" t="s">
        <v>1480</v>
      </c>
      <c r="F380" t="s">
        <v>1481</v>
      </c>
      <c r="G380" t="s">
        <v>168</v>
      </c>
      <c r="H380" t="b">
        <v>1</v>
      </c>
      <c r="I380" t="s">
        <v>1803</v>
      </c>
      <c r="J380" s="30">
        <f ca="1">YEARFRAC(W380,X380,1)</f>
        <v>92.184114460668866</v>
      </c>
      <c r="K380" t="s">
        <v>1483</v>
      </c>
      <c r="L380" s="32">
        <v>6400</v>
      </c>
      <c r="M380" s="27">
        <v>21427700000000</v>
      </c>
      <c r="N380">
        <v>1934</v>
      </c>
      <c r="O380">
        <v>7</v>
      </c>
      <c r="P380">
        <v>27</v>
      </c>
      <c r="Q380">
        <v>117.24</v>
      </c>
      <c r="R380">
        <v>78.5</v>
      </c>
      <c r="S380">
        <v>9.6</v>
      </c>
      <c r="T380">
        <v>36.6</v>
      </c>
      <c r="U380">
        <v>328239523</v>
      </c>
      <c r="V380" s="30"/>
      <c r="W380" s="25">
        <f ca="1">TODAY()</f>
        <v>46297</v>
      </c>
      <c r="X380" s="25">
        <f>DATE(N380,O380,P380)</f>
        <v>12627</v>
      </c>
    </row>
    <row r="381" spans="1:24" x14ac:dyDescent="0.3">
      <c r="A381">
        <v>405</v>
      </c>
      <c r="B381" t="s">
        <v>580</v>
      </c>
      <c r="C381" t="s">
        <v>1484</v>
      </c>
      <c r="D381" t="s">
        <v>226</v>
      </c>
      <c r="E381" t="s">
        <v>861</v>
      </c>
      <c r="F381" t="s">
        <v>1246</v>
      </c>
      <c r="G381" t="s">
        <v>580</v>
      </c>
      <c r="H381" t="b">
        <v>0</v>
      </c>
      <c r="I381" t="s">
        <v>1803</v>
      </c>
      <c r="J381" s="30">
        <f ca="1">YEARFRAC(W381,X381,1)</f>
        <v>80.94317195325543</v>
      </c>
      <c r="K381" t="s">
        <v>675</v>
      </c>
      <c r="L381" s="32">
        <v>6300</v>
      </c>
      <c r="M381" s="27">
        <v>2827113184696</v>
      </c>
      <c r="N381">
        <v>1945</v>
      </c>
      <c r="O381">
        <v>10</v>
      </c>
      <c r="P381">
        <v>23</v>
      </c>
      <c r="Q381">
        <v>119.62</v>
      </c>
      <c r="R381">
        <v>81.3</v>
      </c>
      <c r="S381">
        <v>25.5</v>
      </c>
      <c r="T381">
        <v>30.6</v>
      </c>
      <c r="U381">
        <v>66834405</v>
      </c>
      <c r="V381" s="30"/>
      <c r="W381" s="25">
        <f ca="1">TODAY()</f>
        <v>46297</v>
      </c>
      <c r="X381" s="25">
        <f>DATE(N381,O381,P381)</f>
        <v>16733</v>
      </c>
    </row>
    <row r="382" spans="1:24" x14ac:dyDescent="0.3">
      <c r="A382">
        <v>405</v>
      </c>
      <c r="B382" t="s">
        <v>292</v>
      </c>
      <c r="C382" t="s">
        <v>1486</v>
      </c>
      <c r="D382" t="s">
        <v>105</v>
      </c>
      <c r="E382" t="s">
        <v>903</v>
      </c>
      <c r="F382" t="s">
        <v>1487</v>
      </c>
      <c r="G382" t="s">
        <v>292</v>
      </c>
      <c r="H382" t="b">
        <v>1</v>
      </c>
      <c r="I382" t="s">
        <v>1803</v>
      </c>
      <c r="J382" s="30">
        <f ca="1">YEARFRAC(W382,X382,1)</f>
        <v>61.75085007727975</v>
      </c>
      <c r="K382" t="s">
        <v>1489</v>
      </c>
      <c r="L382" s="32">
        <v>6300</v>
      </c>
      <c r="M382" s="27">
        <v>19910000000000</v>
      </c>
      <c r="N382">
        <v>1965</v>
      </c>
      <c r="O382">
        <v>1</v>
      </c>
      <c r="P382">
        <v>1</v>
      </c>
      <c r="Q382">
        <v>125.08</v>
      </c>
      <c r="R382">
        <v>77</v>
      </c>
      <c r="S382">
        <v>9.4</v>
      </c>
      <c r="T382">
        <v>59.2</v>
      </c>
      <c r="U382">
        <v>1397715000</v>
      </c>
      <c r="V382" s="30"/>
      <c r="W382" s="25">
        <f ca="1">TODAY()</f>
        <v>46297</v>
      </c>
      <c r="X382" s="25">
        <f>DATE(N382,O382,P382)</f>
        <v>23743</v>
      </c>
    </row>
    <row r="383" spans="1:24" x14ac:dyDescent="0.3">
      <c r="A383">
        <v>405</v>
      </c>
      <c r="B383" t="s">
        <v>49</v>
      </c>
      <c r="C383" t="s">
        <v>1490</v>
      </c>
      <c r="D383" t="s">
        <v>226</v>
      </c>
      <c r="E383" t="s">
        <v>227</v>
      </c>
      <c r="F383" t="s">
        <v>802</v>
      </c>
      <c r="G383" t="s">
        <v>49</v>
      </c>
      <c r="H383" t="b">
        <v>1</v>
      </c>
      <c r="I383" t="s">
        <v>1803</v>
      </c>
      <c r="J383" s="30">
        <f ca="1">YEARFRAC(W383,X383,1)</f>
        <v>70.334708672347972</v>
      </c>
      <c r="K383" t="s">
        <v>190</v>
      </c>
      <c r="L383" s="32">
        <v>6300</v>
      </c>
      <c r="M383" s="27">
        <v>2827113184696</v>
      </c>
      <c r="N383">
        <v>1956</v>
      </c>
      <c r="O383">
        <v>6</v>
      </c>
      <c r="P383">
        <v>1</v>
      </c>
      <c r="Q383">
        <v>119.62</v>
      </c>
      <c r="R383">
        <v>81.3</v>
      </c>
      <c r="S383">
        <v>25.5</v>
      </c>
      <c r="T383">
        <v>30.6</v>
      </c>
      <c r="U383">
        <v>66834405</v>
      </c>
      <c r="V383" s="30"/>
      <c r="W383" s="25">
        <f ca="1">TODAY()</f>
        <v>46297</v>
      </c>
      <c r="X383" s="25">
        <f>DATE(N383,O383,P383)</f>
        <v>20607</v>
      </c>
    </row>
    <row r="384" spans="1:24" x14ac:dyDescent="0.3">
      <c r="A384">
        <v>405</v>
      </c>
      <c r="B384" t="s">
        <v>351</v>
      </c>
      <c r="C384" t="s">
        <v>1492</v>
      </c>
      <c r="D384" t="s">
        <v>23</v>
      </c>
      <c r="E384" t="s">
        <v>1493</v>
      </c>
      <c r="F384" t="s">
        <v>517</v>
      </c>
      <c r="G384" t="s">
        <v>351</v>
      </c>
      <c r="H384" t="b">
        <v>0</v>
      </c>
      <c r="I384" t="s">
        <v>1803</v>
      </c>
      <c r="J384" s="30">
        <f ca="1">YEARFRAC(W384,X384,1)</f>
        <v>88.750853662288122</v>
      </c>
      <c r="K384" t="s">
        <v>235</v>
      </c>
      <c r="L384" s="32">
        <v>6300</v>
      </c>
      <c r="M384" s="27">
        <v>2715518274227</v>
      </c>
      <c r="N384">
        <v>1938</v>
      </c>
      <c r="O384">
        <v>1</v>
      </c>
      <c r="P384">
        <v>1</v>
      </c>
      <c r="Q384">
        <v>110.05</v>
      </c>
      <c r="R384">
        <v>82.5</v>
      </c>
      <c r="S384">
        <v>24.2</v>
      </c>
      <c r="T384">
        <v>60.7</v>
      </c>
      <c r="U384">
        <v>67059887</v>
      </c>
      <c r="V384" s="30"/>
      <c r="W384" s="25">
        <f ca="1">TODAY()</f>
        <v>46297</v>
      </c>
      <c r="X384" s="25">
        <f>DATE(N384,O384,P384)</f>
        <v>13881</v>
      </c>
    </row>
    <row r="385" spans="1:24" x14ac:dyDescent="0.3">
      <c r="A385">
        <v>405</v>
      </c>
      <c r="B385" t="s">
        <v>292</v>
      </c>
      <c r="C385" t="s">
        <v>1495</v>
      </c>
      <c r="D385" t="s">
        <v>105</v>
      </c>
      <c r="E385" t="s">
        <v>1496</v>
      </c>
      <c r="F385" t="s">
        <v>1497</v>
      </c>
      <c r="G385" t="s">
        <v>292</v>
      </c>
      <c r="H385" t="b">
        <v>1</v>
      </c>
      <c r="I385" t="s">
        <v>1803</v>
      </c>
      <c r="J385" s="30">
        <f ca="1">YEARFRAC(W385,X385,1)</f>
        <v>62.559210812220243</v>
      </c>
      <c r="K385" t="s">
        <v>1498</v>
      </c>
      <c r="L385" s="32">
        <v>6300</v>
      </c>
      <c r="M385" s="27">
        <v>19910000000000</v>
      </c>
      <c r="N385">
        <v>1964</v>
      </c>
      <c r="O385">
        <v>3</v>
      </c>
      <c r="P385">
        <v>11</v>
      </c>
      <c r="Q385">
        <v>125.08</v>
      </c>
      <c r="R385">
        <v>77</v>
      </c>
      <c r="S385">
        <v>9.4</v>
      </c>
      <c r="T385">
        <v>59.2</v>
      </c>
      <c r="U385">
        <v>1397715000</v>
      </c>
      <c r="V385" s="30"/>
      <c r="W385" s="25">
        <f ca="1">TODAY()</f>
        <v>46297</v>
      </c>
      <c r="X385" s="25">
        <f>DATE(N385,O385,P385)</f>
        <v>23447</v>
      </c>
    </row>
    <row r="386" spans="1:24" x14ac:dyDescent="0.3">
      <c r="A386">
        <v>405</v>
      </c>
      <c r="B386" t="s">
        <v>250</v>
      </c>
      <c r="C386" t="s">
        <v>1499</v>
      </c>
      <c r="D386" t="s">
        <v>665</v>
      </c>
      <c r="E386" t="s">
        <v>1500</v>
      </c>
      <c r="F386" t="s">
        <v>1501</v>
      </c>
      <c r="G386" t="s">
        <v>250</v>
      </c>
      <c r="H386" t="b">
        <v>1</v>
      </c>
      <c r="I386" t="s">
        <v>1803</v>
      </c>
      <c r="J386" s="30">
        <f ca="1">YEARFRAC(W386,X386,1)</f>
        <v>100.21423149905122</v>
      </c>
      <c r="K386" t="s">
        <v>1502</v>
      </c>
      <c r="L386" s="32">
        <v>6300</v>
      </c>
      <c r="M386" s="27">
        <v>395098666122</v>
      </c>
      <c r="N386">
        <v>1926</v>
      </c>
      <c r="O386">
        <v>7</v>
      </c>
      <c r="P386">
        <v>16</v>
      </c>
      <c r="Q386">
        <v>108.15</v>
      </c>
      <c r="R386">
        <v>82.8</v>
      </c>
      <c r="S386">
        <v>23.1</v>
      </c>
      <c r="T386">
        <v>25.3</v>
      </c>
      <c r="U386">
        <v>9053300</v>
      </c>
      <c r="V386" s="30"/>
      <c r="W386" s="25">
        <f ca="1">TODAY()</f>
        <v>46297</v>
      </c>
      <c r="X386" s="25">
        <f>DATE(N386,O386,P386)</f>
        <v>9694</v>
      </c>
    </row>
    <row r="387" spans="1:24" x14ac:dyDescent="0.3">
      <c r="A387">
        <v>411</v>
      </c>
      <c r="B387" t="s">
        <v>103</v>
      </c>
      <c r="C387" t="s">
        <v>1503</v>
      </c>
      <c r="D387" t="s">
        <v>67</v>
      </c>
      <c r="E387" t="s">
        <v>68</v>
      </c>
      <c r="F387" t="s">
        <v>1504</v>
      </c>
      <c r="G387" t="s">
        <v>103</v>
      </c>
      <c r="H387" t="b">
        <v>0</v>
      </c>
      <c r="I387" t="s">
        <v>1804</v>
      </c>
      <c r="J387" s="30">
        <f ca="1">YEARFRAC(W387,X387,1)</f>
        <v>63.419575633127998</v>
      </c>
      <c r="K387" t="s">
        <v>1506</v>
      </c>
      <c r="L387" s="32">
        <v>6200</v>
      </c>
      <c r="M387" s="27">
        <v>1258286717125</v>
      </c>
      <c r="N387">
        <v>1963</v>
      </c>
      <c r="O387">
        <v>5</v>
      </c>
      <c r="P387">
        <v>2</v>
      </c>
      <c r="Q387">
        <v>141.54</v>
      </c>
      <c r="R387">
        <v>75</v>
      </c>
      <c r="S387">
        <v>13.1</v>
      </c>
      <c r="T387">
        <v>55.1</v>
      </c>
      <c r="U387">
        <v>126014024</v>
      </c>
      <c r="V387" s="30"/>
      <c r="W387" s="25">
        <f ca="1">TODAY()</f>
        <v>46297</v>
      </c>
      <c r="X387" s="25">
        <f>DATE(N387,O387,P387)</f>
        <v>23133</v>
      </c>
    </row>
    <row r="388" spans="1:24" x14ac:dyDescent="0.3">
      <c r="A388">
        <v>411</v>
      </c>
      <c r="B388" t="s">
        <v>72</v>
      </c>
      <c r="C388" t="s">
        <v>1507</v>
      </c>
      <c r="D388" t="s">
        <v>497</v>
      </c>
      <c r="E388" t="s">
        <v>498</v>
      </c>
      <c r="F388" t="s">
        <v>264</v>
      </c>
      <c r="G388" t="s">
        <v>72</v>
      </c>
      <c r="H388" t="b">
        <v>1</v>
      </c>
      <c r="I388" t="s">
        <v>1803</v>
      </c>
      <c r="J388" s="30">
        <f ca="1">YEARFRAC(W388,X388,1)</f>
        <v>88.583843479865877</v>
      </c>
      <c r="K388" t="s">
        <v>1509</v>
      </c>
      <c r="L388" s="32">
        <v>6200</v>
      </c>
      <c r="M388" s="27">
        <v>530832908738</v>
      </c>
      <c r="N388">
        <v>1938</v>
      </c>
      <c r="O388">
        <v>3</v>
      </c>
      <c r="P388">
        <v>3</v>
      </c>
      <c r="Q388">
        <v>110.51</v>
      </c>
      <c r="R388">
        <v>82.5</v>
      </c>
      <c r="S388">
        <v>27.9</v>
      </c>
      <c r="T388">
        <v>49.1</v>
      </c>
      <c r="U388">
        <v>10285453</v>
      </c>
      <c r="V388" s="30"/>
      <c r="W388" s="25">
        <f ca="1">TODAY()</f>
        <v>46297</v>
      </c>
      <c r="X388" s="25">
        <f>DATE(N388,O388,P388)</f>
        <v>13942</v>
      </c>
    </row>
    <row r="389" spans="1:24" x14ac:dyDescent="0.3">
      <c r="A389">
        <v>411</v>
      </c>
      <c r="B389" t="s">
        <v>381</v>
      </c>
      <c r="C389" t="s">
        <v>1510</v>
      </c>
      <c r="D389" t="s">
        <v>1511</v>
      </c>
      <c r="E389" t="s">
        <v>1512</v>
      </c>
      <c r="F389" t="s">
        <v>1513</v>
      </c>
      <c r="G389" t="s">
        <v>381</v>
      </c>
      <c r="H389" t="b">
        <v>1</v>
      </c>
      <c r="I389" t="s">
        <v>1803</v>
      </c>
      <c r="J389" s="30">
        <f ca="1">YEARFRAC(W389,X389,1)</f>
        <v>93.16768123962369</v>
      </c>
      <c r="K389" t="s">
        <v>1515</v>
      </c>
      <c r="L389" s="32">
        <v>6200</v>
      </c>
      <c r="M389" s="27">
        <v>909070395161</v>
      </c>
      <c r="N389">
        <v>1933</v>
      </c>
      <c r="O389">
        <v>8</v>
      </c>
      <c r="P389">
        <v>2</v>
      </c>
      <c r="Q389">
        <v>115.91</v>
      </c>
      <c r="R389">
        <v>81.8</v>
      </c>
      <c r="S389">
        <v>23</v>
      </c>
      <c r="T389">
        <v>41.2</v>
      </c>
      <c r="U389">
        <v>17332850</v>
      </c>
      <c r="V389" s="30"/>
      <c r="W389" s="25">
        <f ca="1">TODAY()</f>
        <v>46297</v>
      </c>
      <c r="X389" s="25">
        <f>DATE(N389,O389,P389)</f>
        <v>12268</v>
      </c>
    </row>
    <row r="390" spans="1:24" x14ac:dyDescent="0.3">
      <c r="A390">
        <v>411</v>
      </c>
      <c r="B390" t="s">
        <v>103</v>
      </c>
      <c r="C390" t="s">
        <v>1517</v>
      </c>
      <c r="D390" t="s">
        <v>105</v>
      </c>
      <c r="E390" t="s">
        <v>192</v>
      </c>
      <c r="F390" t="s">
        <v>1230</v>
      </c>
      <c r="G390" t="s">
        <v>103</v>
      </c>
      <c r="H390" t="b">
        <v>1</v>
      </c>
      <c r="I390" t="s">
        <v>1803</v>
      </c>
      <c r="J390" s="30">
        <f ca="1">YEARFRAC(W390,X390,1)</f>
        <v>62.750858285167965</v>
      </c>
      <c r="K390" t="s">
        <v>1518</v>
      </c>
      <c r="L390" s="32">
        <v>6200</v>
      </c>
      <c r="M390" s="27">
        <v>19910000000000</v>
      </c>
      <c r="N390">
        <v>1964</v>
      </c>
      <c r="O390">
        <v>1</v>
      </c>
      <c r="P390">
        <v>1</v>
      </c>
      <c r="Q390">
        <v>125.08</v>
      </c>
      <c r="R390">
        <v>77</v>
      </c>
      <c r="S390">
        <v>9.4</v>
      </c>
      <c r="T390">
        <v>59.2</v>
      </c>
      <c r="U390">
        <v>1397715000</v>
      </c>
      <c r="V390" s="30"/>
      <c r="W390" s="25">
        <f ca="1">TODAY()</f>
        <v>46297</v>
      </c>
      <c r="X390" s="25">
        <f>DATE(N390,O390,P390)</f>
        <v>23377</v>
      </c>
    </row>
    <row r="391" spans="1:24" x14ac:dyDescent="0.3">
      <c r="A391">
        <v>411</v>
      </c>
      <c r="B391" t="s">
        <v>250</v>
      </c>
      <c r="C391" t="s">
        <v>1519</v>
      </c>
      <c r="D391" t="s">
        <v>105</v>
      </c>
      <c r="E391" t="s">
        <v>827</v>
      </c>
      <c r="F391" t="s">
        <v>1520</v>
      </c>
      <c r="G391" t="s">
        <v>250</v>
      </c>
      <c r="H391" t="b">
        <v>1</v>
      </c>
      <c r="I391" t="s">
        <v>1803</v>
      </c>
      <c r="J391" s="30">
        <f ca="1">YEARFRAC(W391,X391,1)</f>
        <v>62.750858285167965</v>
      </c>
      <c r="K391" t="s">
        <v>905</v>
      </c>
      <c r="L391" s="32">
        <v>6200</v>
      </c>
      <c r="M391" s="27">
        <v>19910000000000</v>
      </c>
      <c r="N391">
        <v>1964</v>
      </c>
      <c r="O391">
        <v>1</v>
      </c>
      <c r="P391">
        <v>1</v>
      </c>
      <c r="Q391">
        <v>125.08</v>
      </c>
      <c r="R391">
        <v>77</v>
      </c>
      <c r="S391">
        <v>9.4</v>
      </c>
      <c r="T391">
        <v>59.2</v>
      </c>
      <c r="U391">
        <v>1397715000</v>
      </c>
      <c r="V391" s="30"/>
      <c r="W391" s="25">
        <f ca="1">TODAY()</f>
        <v>46297</v>
      </c>
      <c r="X391" s="25">
        <f>DATE(N391,O391,P391)</f>
        <v>23377</v>
      </c>
    </row>
    <row r="392" spans="1:24" x14ac:dyDescent="0.3">
      <c r="A392">
        <v>411</v>
      </c>
      <c r="B392" t="s">
        <v>250</v>
      </c>
      <c r="C392" t="s">
        <v>1522</v>
      </c>
      <c r="D392" t="s">
        <v>105</v>
      </c>
      <c r="E392" t="s">
        <v>827</v>
      </c>
      <c r="F392" t="s">
        <v>1523</v>
      </c>
      <c r="G392" t="s">
        <v>250</v>
      </c>
      <c r="H392" t="b">
        <v>1</v>
      </c>
      <c r="I392" t="s">
        <v>1803</v>
      </c>
      <c r="J392" s="30">
        <f ca="1">YEARFRAC(W392,X392,1)</f>
        <v>54.750858678878991</v>
      </c>
      <c r="K392" t="s">
        <v>1524</v>
      </c>
      <c r="L392" s="32">
        <v>6200</v>
      </c>
      <c r="M392" s="27">
        <v>19910000000000</v>
      </c>
      <c r="N392">
        <v>1972</v>
      </c>
      <c r="O392">
        <v>1</v>
      </c>
      <c r="P392">
        <v>1</v>
      </c>
      <c r="Q392">
        <v>125.08</v>
      </c>
      <c r="R392">
        <v>77</v>
      </c>
      <c r="S392">
        <v>9.4</v>
      </c>
      <c r="T392">
        <v>59.2</v>
      </c>
      <c r="U392">
        <v>1397715000</v>
      </c>
      <c r="V392" s="30"/>
      <c r="W392" s="25">
        <f ca="1">TODAY()</f>
        <v>46297</v>
      </c>
      <c r="X392" s="25">
        <f>DATE(N392,O392,P392)</f>
        <v>26299</v>
      </c>
    </row>
    <row r="393" spans="1:24" x14ac:dyDescent="0.3">
      <c r="A393">
        <v>411</v>
      </c>
      <c r="B393" t="s">
        <v>49</v>
      </c>
      <c r="C393" t="s">
        <v>1525</v>
      </c>
      <c r="D393" t="s">
        <v>1526</v>
      </c>
      <c r="E393" t="s">
        <v>1527</v>
      </c>
      <c r="F393" t="s">
        <v>264</v>
      </c>
      <c r="G393" t="s">
        <v>49</v>
      </c>
      <c r="H393" t="b">
        <v>1</v>
      </c>
      <c r="I393" t="s">
        <v>1803</v>
      </c>
      <c r="J393" s="30">
        <f ca="1">YEARFRAC(W393,X393,1)</f>
        <v>64.227917947853925</v>
      </c>
      <c r="K393" t="s">
        <v>1529</v>
      </c>
      <c r="L393" s="32">
        <v>6200</v>
      </c>
      <c r="M393" s="27">
        <v>592164400688</v>
      </c>
      <c r="N393">
        <v>1962</v>
      </c>
      <c r="O393">
        <v>7</v>
      </c>
      <c r="P393">
        <v>11</v>
      </c>
      <c r="Q393">
        <v>114.11</v>
      </c>
      <c r="R393">
        <v>77.599999999999994</v>
      </c>
      <c r="S393">
        <v>17.399999999999999</v>
      </c>
      <c r="T393">
        <v>40.799999999999997</v>
      </c>
      <c r="U393">
        <v>37970874</v>
      </c>
      <c r="V393" s="30"/>
      <c r="W393" s="25">
        <f ca="1">TODAY()</f>
        <v>46297</v>
      </c>
      <c r="X393" s="25">
        <f>DATE(N393,O393,P393)</f>
        <v>22838</v>
      </c>
    </row>
    <row r="394" spans="1:24" x14ac:dyDescent="0.3">
      <c r="A394">
        <v>418</v>
      </c>
      <c r="B394" t="s">
        <v>72</v>
      </c>
      <c r="C394" t="s">
        <v>1531</v>
      </c>
      <c r="D394" t="s">
        <v>565</v>
      </c>
      <c r="E394" t="s">
        <v>566</v>
      </c>
      <c r="F394" t="s">
        <v>1532</v>
      </c>
      <c r="G394" t="s">
        <v>72</v>
      </c>
      <c r="H394" t="b">
        <v>1</v>
      </c>
      <c r="I394" t="s">
        <v>1803</v>
      </c>
      <c r="J394" s="30">
        <f ca="1">YEARFRAC(W394,X394,1)</f>
        <v>73.427778599970409</v>
      </c>
      <c r="K394" t="s">
        <v>733</v>
      </c>
      <c r="L394" s="32">
        <v>6100</v>
      </c>
      <c r="M394" s="27">
        <v>448120428859</v>
      </c>
      <c r="N394">
        <v>1953</v>
      </c>
      <c r="O394">
        <v>4</v>
      </c>
      <c r="P394">
        <v>29</v>
      </c>
      <c r="Q394">
        <v>267.51</v>
      </c>
      <c r="R394">
        <v>54.3</v>
      </c>
      <c r="S394">
        <v>1.5</v>
      </c>
      <c r="T394">
        <v>34.799999999999997</v>
      </c>
      <c r="U394">
        <v>200963599</v>
      </c>
      <c r="V394" s="30"/>
      <c r="W394" s="25">
        <f ca="1">TODAY()</f>
        <v>46297</v>
      </c>
      <c r="X394" s="25">
        <f>DATE(N394,O394,P394)</f>
        <v>19478</v>
      </c>
    </row>
    <row r="395" spans="1:24" x14ac:dyDescent="0.3">
      <c r="A395">
        <v>418</v>
      </c>
      <c r="B395" t="s">
        <v>49</v>
      </c>
      <c r="C395" t="s">
        <v>1534</v>
      </c>
      <c r="D395" t="s">
        <v>32</v>
      </c>
      <c r="E395" t="s">
        <v>886</v>
      </c>
      <c r="F395" t="s">
        <v>802</v>
      </c>
      <c r="G395" t="s">
        <v>49</v>
      </c>
      <c r="H395" t="b">
        <v>1</v>
      </c>
      <c r="I395" t="s">
        <v>1803</v>
      </c>
      <c r="J395" s="30">
        <f ca="1">YEARFRAC(W395,X395,1)</f>
        <v>62.170440224240579</v>
      </c>
      <c r="K395" t="s">
        <v>1536</v>
      </c>
      <c r="L395" s="32">
        <v>6100</v>
      </c>
      <c r="M395" s="27">
        <v>21427700000000</v>
      </c>
      <c r="N395">
        <v>1964</v>
      </c>
      <c r="O395">
        <v>7</v>
      </c>
      <c r="P395">
        <v>31</v>
      </c>
      <c r="Q395">
        <v>117.24</v>
      </c>
      <c r="R395">
        <v>78.5</v>
      </c>
      <c r="S395">
        <v>9.6</v>
      </c>
      <c r="T395">
        <v>36.6</v>
      </c>
      <c r="U395">
        <v>328239523</v>
      </c>
      <c r="V395" s="30"/>
      <c r="W395" s="25">
        <f ca="1">TODAY()</f>
        <v>46297</v>
      </c>
      <c r="X395" s="25">
        <f>DATE(N395,O395,P395)</f>
        <v>23589</v>
      </c>
    </row>
    <row r="396" spans="1:24" x14ac:dyDescent="0.3">
      <c r="A396">
        <v>418</v>
      </c>
      <c r="B396" t="s">
        <v>21</v>
      </c>
      <c r="C396" t="s">
        <v>1537</v>
      </c>
      <c r="D396" t="s">
        <v>158</v>
      </c>
      <c r="E396" t="s">
        <v>896</v>
      </c>
      <c r="F396" t="s">
        <v>1538</v>
      </c>
      <c r="G396" t="s">
        <v>21</v>
      </c>
      <c r="H396" t="b">
        <v>0</v>
      </c>
      <c r="I396" t="s">
        <v>1803</v>
      </c>
      <c r="J396" s="30">
        <f ca="1">YEARFRAC(W396,X396,1)</f>
        <v>83.011635865845307</v>
      </c>
      <c r="K396" t="s">
        <v>64</v>
      </c>
      <c r="L396" s="32">
        <v>6100</v>
      </c>
      <c r="M396" s="27">
        <v>3845630030824</v>
      </c>
      <c r="N396">
        <v>1943</v>
      </c>
      <c r="O396">
        <v>9</v>
      </c>
      <c r="P396">
        <v>28</v>
      </c>
      <c r="Q396">
        <v>112.85</v>
      </c>
      <c r="R396">
        <v>80.900000000000006</v>
      </c>
      <c r="S396">
        <v>11.5</v>
      </c>
      <c r="T396">
        <v>48.8</v>
      </c>
      <c r="U396">
        <v>83132799</v>
      </c>
      <c r="V396" s="30"/>
      <c r="W396" s="25">
        <f ca="1">TODAY()</f>
        <v>46297</v>
      </c>
      <c r="X396" s="25">
        <f>DATE(N396,O396,P396)</f>
        <v>15977</v>
      </c>
    </row>
    <row r="397" spans="1:24" x14ac:dyDescent="0.3">
      <c r="A397">
        <v>418</v>
      </c>
      <c r="B397" t="s">
        <v>21</v>
      </c>
      <c r="C397" t="s">
        <v>1540</v>
      </c>
      <c r="D397" t="s">
        <v>158</v>
      </c>
      <c r="E397" t="s">
        <v>896</v>
      </c>
      <c r="F397" t="s">
        <v>1538</v>
      </c>
      <c r="G397" t="s">
        <v>21</v>
      </c>
      <c r="H397" t="b">
        <v>0</v>
      </c>
      <c r="I397" t="s">
        <v>1803</v>
      </c>
      <c r="J397" s="30">
        <f ca="1">YEARFRAC(W397,X397,1)</f>
        <v>75.750855578370974</v>
      </c>
      <c r="K397" t="s">
        <v>1541</v>
      </c>
      <c r="L397" s="32">
        <v>6100</v>
      </c>
      <c r="M397" s="27">
        <v>3845630030824</v>
      </c>
      <c r="N397">
        <v>1951</v>
      </c>
      <c r="O397">
        <v>1</v>
      </c>
      <c r="P397">
        <v>1</v>
      </c>
      <c r="Q397">
        <v>112.85</v>
      </c>
      <c r="R397">
        <v>80.900000000000006</v>
      </c>
      <c r="S397">
        <v>11.5</v>
      </c>
      <c r="T397">
        <v>48.8</v>
      </c>
      <c r="U397">
        <v>83132799</v>
      </c>
      <c r="V397" s="30"/>
      <c r="W397" s="25">
        <f ca="1">TODAY()</f>
        <v>46297</v>
      </c>
      <c r="X397" s="25">
        <f>DATE(N397,O397,P397)</f>
        <v>18629</v>
      </c>
    </row>
    <row r="398" spans="1:24" x14ac:dyDescent="0.3">
      <c r="A398">
        <v>425</v>
      </c>
      <c r="B398" t="s">
        <v>272</v>
      </c>
      <c r="C398" t="s">
        <v>1542</v>
      </c>
      <c r="D398" t="s">
        <v>327</v>
      </c>
      <c r="E398" t="s">
        <v>328</v>
      </c>
      <c r="F398" t="s">
        <v>1543</v>
      </c>
      <c r="G398" t="s">
        <v>272</v>
      </c>
      <c r="H398" t="b">
        <v>1</v>
      </c>
      <c r="I398" t="s">
        <v>1803</v>
      </c>
      <c r="J398" s="30">
        <f ca="1">YEARFRAC(W398,X398,1)</f>
        <v>67.613963039014379</v>
      </c>
      <c r="K398" t="s">
        <v>898</v>
      </c>
      <c r="L398" s="32">
        <v>6000</v>
      </c>
      <c r="M398" s="27">
        <v>1699876578871</v>
      </c>
      <c r="N398">
        <v>1959</v>
      </c>
      <c r="O398">
        <v>2</v>
      </c>
      <c r="P398">
        <v>20</v>
      </c>
      <c r="Q398">
        <v>180.75</v>
      </c>
      <c r="R398">
        <v>72.7</v>
      </c>
      <c r="S398">
        <v>11.4</v>
      </c>
      <c r="T398">
        <v>46.2</v>
      </c>
      <c r="U398">
        <v>144373535</v>
      </c>
      <c r="V398" s="30"/>
      <c r="W398" s="25">
        <f ca="1">TODAY()</f>
        <v>46297</v>
      </c>
      <c r="X398" s="25">
        <f>DATE(N398,O398,P398)</f>
        <v>21601</v>
      </c>
    </row>
    <row r="399" spans="1:24" x14ac:dyDescent="0.3">
      <c r="A399">
        <v>425</v>
      </c>
      <c r="B399" t="s">
        <v>462</v>
      </c>
      <c r="C399" t="s">
        <v>1545</v>
      </c>
      <c r="D399" t="s">
        <v>32</v>
      </c>
      <c r="E399" t="s">
        <v>379</v>
      </c>
      <c r="F399" t="s">
        <v>465</v>
      </c>
      <c r="G399" t="s">
        <v>462</v>
      </c>
      <c r="H399" t="b">
        <v>1</v>
      </c>
      <c r="I399" t="s">
        <v>1803</v>
      </c>
      <c r="J399" s="30">
        <f ca="1">YEARFRAC(W399,X399,1)</f>
        <v>88.720737072015268</v>
      </c>
      <c r="K399" t="s">
        <v>1547</v>
      </c>
      <c r="L399" s="32">
        <v>6000</v>
      </c>
      <c r="M399" s="27">
        <v>21427700000000</v>
      </c>
      <c r="N399">
        <v>1938</v>
      </c>
      <c r="O399">
        <v>1</v>
      </c>
      <c r="P399">
        <v>12</v>
      </c>
      <c r="Q399">
        <v>117.24</v>
      </c>
      <c r="R399">
        <v>78.5</v>
      </c>
      <c r="S399">
        <v>9.6</v>
      </c>
      <c r="T399">
        <v>36.6</v>
      </c>
      <c r="U399">
        <v>328239523</v>
      </c>
      <c r="V399" s="30"/>
      <c r="W399" s="25">
        <f ca="1">TODAY()</f>
        <v>46297</v>
      </c>
      <c r="X399" s="25">
        <f>DATE(N399,O399,P399)</f>
        <v>13892</v>
      </c>
    </row>
    <row r="400" spans="1:24" x14ac:dyDescent="0.3">
      <c r="A400">
        <v>425</v>
      </c>
      <c r="B400" t="s">
        <v>21</v>
      </c>
      <c r="C400" t="s">
        <v>1548</v>
      </c>
      <c r="D400" t="s">
        <v>133</v>
      </c>
      <c r="E400" t="s">
        <v>1549</v>
      </c>
      <c r="F400" t="s">
        <v>1550</v>
      </c>
      <c r="G400" t="s">
        <v>21</v>
      </c>
      <c r="H400" t="b">
        <v>1</v>
      </c>
      <c r="I400" t="s">
        <v>1803</v>
      </c>
      <c r="J400" s="30">
        <f ca="1">YEARFRAC(W400,X400,1)</f>
        <v>77.61943206149742</v>
      </c>
      <c r="K400" t="s">
        <v>235</v>
      </c>
      <c r="L400" s="32">
        <v>6000</v>
      </c>
      <c r="M400" s="27">
        <v>1736425629520</v>
      </c>
      <c r="N400">
        <v>1949</v>
      </c>
      <c r="O400">
        <v>2</v>
      </c>
      <c r="P400">
        <v>18</v>
      </c>
      <c r="Q400">
        <v>116.76</v>
      </c>
      <c r="R400">
        <v>81.900000000000006</v>
      </c>
      <c r="S400">
        <v>12.8</v>
      </c>
      <c r="T400">
        <v>24.5</v>
      </c>
      <c r="U400">
        <v>36991981</v>
      </c>
      <c r="V400" s="30"/>
      <c r="W400" s="25">
        <f ca="1">TODAY()</f>
        <v>46297</v>
      </c>
      <c r="X400" s="25">
        <f>DATE(N400,O400,P400)</f>
        <v>17947</v>
      </c>
    </row>
    <row r="401" spans="1:24" x14ac:dyDescent="0.3">
      <c r="A401">
        <v>425</v>
      </c>
      <c r="B401" t="s">
        <v>38</v>
      </c>
      <c r="C401" t="s">
        <v>1552</v>
      </c>
      <c r="D401" t="s">
        <v>32</v>
      </c>
      <c r="E401" t="s">
        <v>1553</v>
      </c>
      <c r="F401" t="s">
        <v>1554</v>
      </c>
      <c r="G401" t="s">
        <v>38</v>
      </c>
      <c r="H401" t="b">
        <v>1</v>
      </c>
      <c r="I401" t="s">
        <v>1803</v>
      </c>
      <c r="J401" s="30">
        <f ca="1">YEARFRAC(W401,X401,1)</f>
        <v>67.101984941820675</v>
      </c>
      <c r="K401" t="s">
        <v>1556</v>
      </c>
      <c r="L401" s="32">
        <v>6000</v>
      </c>
      <c r="M401" s="27">
        <v>21427700000000</v>
      </c>
      <c r="N401">
        <v>1959</v>
      </c>
      <c r="O401">
        <v>8</v>
      </c>
      <c r="P401">
        <v>26</v>
      </c>
      <c r="Q401">
        <v>117.24</v>
      </c>
      <c r="R401">
        <v>78.5</v>
      </c>
      <c r="S401">
        <v>9.6</v>
      </c>
      <c r="T401">
        <v>36.6</v>
      </c>
      <c r="U401">
        <v>328239523</v>
      </c>
      <c r="V401" s="30"/>
      <c r="W401" s="25">
        <f ca="1">TODAY()</f>
        <v>46297</v>
      </c>
      <c r="X401" s="25">
        <f>DATE(N401,O401,P401)</f>
        <v>21788</v>
      </c>
    </row>
    <row r="402" spans="1:24" x14ac:dyDescent="0.3">
      <c r="A402">
        <v>425</v>
      </c>
      <c r="B402" t="s">
        <v>21</v>
      </c>
      <c r="C402" t="s">
        <v>1557</v>
      </c>
      <c r="D402" t="s">
        <v>74</v>
      </c>
      <c r="E402" t="s">
        <v>75</v>
      </c>
      <c r="F402" t="s">
        <v>526</v>
      </c>
      <c r="G402" t="s">
        <v>21</v>
      </c>
      <c r="H402" t="b">
        <v>1</v>
      </c>
      <c r="I402" t="s">
        <v>1803</v>
      </c>
      <c r="J402" s="30">
        <f ca="1">YEARFRAC(W402,X402,1)</f>
        <v>68.750853106896287</v>
      </c>
      <c r="K402" t="s">
        <v>1558</v>
      </c>
      <c r="L402" s="32">
        <v>6000</v>
      </c>
      <c r="M402" s="27">
        <v>2611000000000</v>
      </c>
      <c r="N402">
        <v>1958</v>
      </c>
      <c r="O402">
        <v>1</v>
      </c>
      <c r="P402">
        <v>1</v>
      </c>
      <c r="Q402">
        <v>180.44</v>
      </c>
      <c r="R402">
        <v>69.400000000000006</v>
      </c>
      <c r="S402">
        <v>11.2</v>
      </c>
      <c r="T402">
        <v>49.7</v>
      </c>
      <c r="U402">
        <v>1366417754</v>
      </c>
      <c r="V402" s="30"/>
      <c r="W402" s="25">
        <f ca="1">TODAY()</f>
        <v>46297</v>
      </c>
      <c r="X402" s="25">
        <f>DATE(N402,O402,P402)</f>
        <v>21186</v>
      </c>
    </row>
    <row r="403" spans="1:24" x14ac:dyDescent="0.3">
      <c r="A403">
        <v>425</v>
      </c>
      <c r="B403" t="s">
        <v>72</v>
      </c>
      <c r="C403" t="s">
        <v>1559</v>
      </c>
      <c r="D403" t="s">
        <v>532</v>
      </c>
      <c r="E403" t="s">
        <v>533</v>
      </c>
      <c r="F403" t="s">
        <v>72</v>
      </c>
      <c r="G403" t="s">
        <v>72</v>
      </c>
      <c r="H403" t="b">
        <v>0</v>
      </c>
      <c r="I403" t="s">
        <v>1803</v>
      </c>
      <c r="J403" s="30">
        <f ca="1">YEARFRAC(W403,X403,1)</f>
        <v>91.915803108808291</v>
      </c>
      <c r="K403" t="s">
        <v>1561</v>
      </c>
      <c r="L403" s="32">
        <v>6000</v>
      </c>
      <c r="M403" s="27">
        <v>543649976166</v>
      </c>
      <c r="N403">
        <v>1934</v>
      </c>
      <c r="O403">
        <v>11</v>
      </c>
      <c r="P403">
        <v>2</v>
      </c>
      <c r="Q403">
        <v>113.27</v>
      </c>
      <c r="R403">
        <v>76.900000000000006</v>
      </c>
      <c r="S403">
        <v>14.9</v>
      </c>
      <c r="T403">
        <v>29.5</v>
      </c>
      <c r="U403">
        <v>69625582</v>
      </c>
      <c r="V403" s="30"/>
      <c r="W403" s="25">
        <f ca="1">TODAY()</f>
        <v>46297</v>
      </c>
      <c r="X403" s="25">
        <f>DATE(N403,O403,P403)</f>
        <v>12725</v>
      </c>
    </row>
    <row r="404" spans="1:24" x14ac:dyDescent="0.3">
      <c r="A404">
        <v>425</v>
      </c>
      <c r="B404" t="s">
        <v>49</v>
      </c>
      <c r="C404" t="s">
        <v>1562</v>
      </c>
      <c r="D404" t="s">
        <v>665</v>
      </c>
      <c r="E404" t="s">
        <v>1500</v>
      </c>
      <c r="F404" t="s">
        <v>264</v>
      </c>
      <c r="G404" t="s">
        <v>49</v>
      </c>
      <c r="H404" t="b">
        <v>1</v>
      </c>
      <c r="I404" t="s">
        <v>1803</v>
      </c>
      <c r="J404" s="30">
        <f ca="1">YEARFRAC(W404,X404,1)</f>
        <v>95.945920009032136</v>
      </c>
      <c r="K404" t="s">
        <v>1564</v>
      </c>
      <c r="L404" s="32">
        <v>6000</v>
      </c>
      <c r="M404" s="27">
        <v>395098666122</v>
      </c>
      <c r="N404">
        <v>1930</v>
      </c>
      <c r="O404">
        <v>10</v>
      </c>
      <c r="P404">
        <v>22</v>
      </c>
      <c r="Q404">
        <v>108.15</v>
      </c>
      <c r="R404">
        <v>82.8</v>
      </c>
      <c r="S404">
        <v>23.1</v>
      </c>
      <c r="T404">
        <v>25.3</v>
      </c>
      <c r="U404">
        <v>9053300</v>
      </c>
      <c r="V404" s="30"/>
      <c r="W404" s="25">
        <f ca="1">TODAY()</f>
        <v>46297</v>
      </c>
      <c r="X404" s="25">
        <f>DATE(N404,O404,P404)</f>
        <v>11253</v>
      </c>
    </row>
    <row r="405" spans="1:24" x14ac:dyDescent="0.3">
      <c r="A405">
        <v>425</v>
      </c>
      <c r="B405" t="s">
        <v>49</v>
      </c>
      <c r="C405" t="s">
        <v>1565</v>
      </c>
      <c r="D405" t="s">
        <v>32</v>
      </c>
      <c r="E405" t="s">
        <v>831</v>
      </c>
      <c r="F405" t="s">
        <v>264</v>
      </c>
      <c r="G405" t="s">
        <v>49</v>
      </c>
      <c r="H405" t="b">
        <v>1</v>
      </c>
      <c r="I405" t="s">
        <v>1803</v>
      </c>
      <c r="J405" s="30">
        <f ca="1">YEARFRAC(W405,X405,1)</f>
        <v>80.247084671286117</v>
      </c>
      <c r="K405" t="s">
        <v>64</v>
      </c>
      <c r="L405" s="32">
        <v>6000</v>
      </c>
      <c r="M405" s="27">
        <v>21427700000000</v>
      </c>
      <c r="N405">
        <v>1946</v>
      </c>
      <c r="O405">
        <v>7</v>
      </c>
      <c r="P405">
        <v>4</v>
      </c>
      <c r="Q405">
        <v>117.24</v>
      </c>
      <c r="R405">
        <v>78.5</v>
      </c>
      <c r="S405">
        <v>9.6</v>
      </c>
      <c r="T405">
        <v>36.6</v>
      </c>
      <c r="U405">
        <v>328239523</v>
      </c>
      <c r="V405" s="30"/>
      <c r="W405" s="25">
        <f ca="1">TODAY()</f>
        <v>46297</v>
      </c>
      <c r="X405" s="25">
        <f>DATE(N405,O405,P405)</f>
        <v>16987</v>
      </c>
    </row>
    <row r="406" spans="1:24" x14ac:dyDescent="0.3">
      <c r="A406">
        <v>425</v>
      </c>
      <c r="B406" t="s">
        <v>38</v>
      </c>
      <c r="C406" t="s">
        <v>1567</v>
      </c>
      <c r="D406" t="s">
        <v>32</v>
      </c>
      <c r="E406" t="s">
        <v>1299</v>
      </c>
      <c r="F406" t="s">
        <v>1568</v>
      </c>
      <c r="G406" t="s">
        <v>38</v>
      </c>
      <c r="H406" t="b">
        <v>1</v>
      </c>
      <c r="I406" t="s">
        <v>1803</v>
      </c>
      <c r="J406" s="30">
        <f ca="1">YEARFRAC(W406,X406,1)</f>
        <v>75.252566735112936</v>
      </c>
      <c r="K406" t="s">
        <v>137</v>
      </c>
      <c r="L406" s="32">
        <v>6000</v>
      </c>
      <c r="M406" s="27">
        <v>21427700000000</v>
      </c>
      <c r="N406">
        <v>1951</v>
      </c>
      <c r="O406">
        <v>7</v>
      </c>
      <c r="P406">
        <v>2</v>
      </c>
      <c r="Q406">
        <v>117.24</v>
      </c>
      <c r="R406">
        <v>78.5</v>
      </c>
      <c r="S406">
        <v>9.6</v>
      </c>
      <c r="T406">
        <v>36.6</v>
      </c>
      <c r="U406">
        <v>328239523</v>
      </c>
      <c r="V406" s="30"/>
      <c r="W406" s="25">
        <f ca="1">TODAY()</f>
        <v>46297</v>
      </c>
      <c r="X406" s="25">
        <f>DATE(N406,O406,P406)</f>
        <v>18811</v>
      </c>
    </row>
    <row r="407" spans="1:24" x14ac:dyDescent="0.3">
      <c r="A407">
        <v>425</v>
      </c>
      <c r="B407" t="s">
        <v>21</v>
      </c>
      <c r="C407" t="s">
        <v>1570</v>
      </c>
      <c r="D407" t="s">
        <v>32</v>
      </c>
      <c r="E407" t="s">
        <v>1571</v>
      </c>
      <c r="F407" t="s">
        <v>160</v>
      </c>
      <c r="G407" t="s">
        <v>21</v>
      </c>
      <c r="H407" t="b">
        <v>1</v>
      </c>
      <c r="I407" t="s">
        <v>1803</v>
      </c>
      <c r="J407" s="30">
        <f ca="1">YEARFRAC(W407,X407,1)</f>
        <v>89.066378680944268</v>
      </c>
      <c r="K407" t="s">
        <v>1573</v>
      </c>
      <c r="L407" s="32">
        <v>6000</v>
      </c>
      <c r="M407" s="27">
        <v>21427700000000</v>
      </c>
      <c r="N407">
        <v>1937</v>
      </c>
      <c r="O407">
        <v>9</v>
      </c>
      <c r="P407">
        <v>8</v>
      </c>
      <c r="Q407">
        <v>117.24</v>
      </c>
      <c r="R407">
        <v>78.5</v>
      </c>
      <c r="S407">
        <v>9.6</v>
      </c>
      <c r="T407">
        <v>36.6</v>
      </c>
      <c r="U407">
        <v>328239523</v>
      </c>
      <c r="V407" s="30"/>
      <c r="W407" s="25">
        <f ca="1">TODAY()</f>
        <v>46297</v>
      </c>
      <c r="X407" s="25">
        <f>DATE(N407,O407,P407)</f>
        <v>13766</v>
      </c>
    </row>
    <row r="408" spans="1:24" x14ac:dyDescent="0.3">
      <c r="A408">
        <v>437</v>
      </c>
      <c r="B408" t="s">
        <v>462</v>
      </c>
      <c r="C408" t="s">
        <v>1574</v>
      </c>
      <c r="D408" t="s">
        <v>105</v>
      </c>
      <c r="E408" t="s">
        <v>655</v>
      </c>
      <c r="F408" t="s">
        <v>465</v>
      </c>
      <c r="G408" t="s">
        <v>462</v>
      </c>
      <c r="H408" t="b">
        <v>1</v>
      </c>
      <c r="I408" t="s">
        <v>1803</v>
      </c>
      <c r="J408" s="30">
        <f ca="1">YEARFRAC(W408,X408,1)</f>
        <v>63.750855578370981</v>
      </c>
      <c r="K408" t="s">
        <v>1576</v>
      </c>
      <c r="L408" s="32">
        <v>5900</v>
      </c>
      <c r="M408" s="27">
        <v>19910000000000</v>
      </c>
      <c r="N408">
        <v>1963</v>
      </c>
      <c r="O408">
        <v>1</v>
      </c>
      <c r="P408">
        <v>1</v>
      </c>
      <c r="Q408">
        <v>125.08</v>
      </c>
      <c r="R408">
        <v>77</v>
      </c>
      <c r="S408">
        <v>9.4</v>
      </c>
      <c r="T408">
        <v>59.2</v>
      </c>
      <c r="U408">
        <v>1397715000</v>
      </c>
      <c r="V408" s="30"/>
      <c r="W408" s="25">
        <f ca="1">TODAY()</f>
        <v>46297</v>
      </c>
      <c r="X408" s="25">
        <f>DATE(N408,O408,P408)</f>
        <v>23012</v>
      </c>
    </row>
    <row r="409" spans="1:24" x14ac:dyDescent="0.3">
      <c r="A409">
        <v>437</v>
      </c>
      <c r="B409" t="s">
        <v>72</v>
      </c>
      <c r="C409" t="s">
        <v>1577</v>
      </c>
      <c r="D409" t="s">
        <v>532</v>
      </c>
      <c r="E409" t="s">
        <v>533</v>
      </c>
      <c r="F409" t="s">
        <v>72</v>
      </c>
      <c r="G409" t="s">
        <v>72</v>
      </c>
      <c r="H409" t="b">
        <v>0</v>
      </c>
      <c r="I409" t="s">
        <v>1803</v>
      </c>
      <c r="J409" s="30">
        <f ca="1">YEARFRAC(W409,X409,1)</f>
        <v>96.504445510739785</v>
      </c>
      <c r="K409" t="s">
        <v>1579</v>
      </c>
      <c r="L409" s="32">
        <v>5900</v>
      </c>
      <c r="M409" s="27">
        <v>543649976166</v>
      </c>
      <c r="N409">
        <v>1930</v>
      </c>
      <c r="O409">
        <v>4</v>
      </c>
      <c r="P409">
        <v>1</v>
      </c>
      <c r="Q409">
        <v>113.27</v>
      </c>
      <c r="R409">
        <v>76.900000000000006</v>
      </c>
      <c r="S409">
        <v>14.9</v>
      </c>
      <c r="T409">
        <v>29.5</v>
      </c>
      <c r="U409">
        <v>69625582</v>
      </c>
      <c r="V409" s="30"/>
      <c r="W409" s="25">
        <f ca="1">TODAY()</f>
        <v>46297</v>
      </c>
      <c r="X409" s="25">
        <f>DATE(N409,O409,P409)</f>
        <v>11049</v>
      </c>
    </row>
    <row r="410" spans="1:24" x14ac:dyDescent="0.3">
      <c r="A410">
        <v>437</v>
      </c>
      <c r="B410" t="s">
        <v>49</v>
      </c>
      <c r="C410" t="s">
        <v>1580</v>
      </c>
      <c r="D410" t="s">
        <v>32</v>
      </c>
      <c r="E410" t="s">
        <v>1581</v>
      </c>
      <c r="F410" t="s">
        <v>204</v>
      </c>
      <c r="G410" t="s">
        <v>49</v>
      </c>
      <c r="H410" t="b">
        <v>1</v>
      </c>
      <c r="I410" t="s">
        <v>1803</v>
      </c>
      <c r="J410" s="30">
        <f ca="1">YEARFRAC(W410,X410,1)</f>
        <v>65.444204762299847</v>
      </c>
      <c r="K410" t="s">
        <v>652</v>
      </c>
      <c r="L410" s="32">
        <v>5900</v>
      </c>
      <c r="M410" s="27">
        <v>21427700000000</v>
      </c>
      <c r="N410">
        <v>1961</v>
      </c>
      <c r="O410">
        <v>4</v>
      </c>
      <c r="P410">
        <v>23</v>
      </c>
      <c r="Q410">
        <v>117.24</v>
      </c>
      <c r="R410">
        <v>78.5</v>
      </c>
      <c r="S410">
        <v>9.6</v>
      </c>
      <c r="T410">
        <v>36.6</v>
      </c>
      <c r="U410">
        <v>328239523</v>
      </c>
      <c r="V410" s="30"/>
      <c r="W410" s="25">
        <f ca="1">TODAY()</f>
        <v>46297</v>
      </c>
      <c r="X410" s="25">
        <f>DATE(N410,O410,P410)</f>
        <v>22394</v>
      </c>
    </row>
    <row r="411" spans="1:24" x14ac:dyDescent="0.3">
      <c r="A411">
        <v>437</v>
      </c>
      <c r="B411" t="s">
        <v>49</v>
      </c>
      <c r="C411" t="s">
        <v>1583</v>
      </c>
      <c r="D411" t="s">
        <v>32</v>
      </c>
      <c r="E411" t="s">
        <v>831</v>
      </c>
      <c r="F411" t="s">
        <v>1584</v>
      </c>
      <c r="G411" t="s">
        <v>49</v>
      </c>
      <c r="H411" t="b">
        <v>1</v>
      </c>
      <c r="I411" t="s">
        <v>1803</v>
      </c>
      <c r="J411" s="30">
        <f ca="1">YEARFRAC(W411,X411,1)</f>
        <v>65.97057862046421</v>
      </c>
      <c r="K411" t="s">
        <v>1586</v>
      </c>
      <c r="L411" s="32">
        <v>5900</v>
      </c>
      <c r="M411" s="27">
        <v>21427700000000</v>
      </c>
      <c r="N411">
        <v>1960</v>
      </c>
      <c r="O411">
        <v>10</v>
      </c>
      <c r="P411">
        <v>12</v>
      </c>
      <c r="Q411">
        <v>117.24</v>
      </c>
      <c r="R411">
        <v>78.5</v>
      </c>
      <c r="S411">
        <v>9.6</v>
      </c>
      <c r="T411">
        <v>36.6</v>
      </c>
      <c r="U411">
        <v>328239523</v>
      </c>
      <c r="V411" s="30"/>
      <c r="W411" s="25">
        <f ca="1">TODAY()</f>
        <v>46297</v>
      </c>
      <c r="X411" s="25">
        <f>DATE(N411,O411,P411)</f>
        <v>22201</v>
      </c>
    </row>
    <row r="412" spans="1:24" x14ac:dyDescent="0.3">
      <c r="A412">
        <v>437</v>
      </c>
      <c r="B412" t="s">
        <v>103</v>
      </c>
      <c r="C412" t="s">
        <v>1587</v>
      </c>
      <c r="D412" t="s">
        <v>105</v>
      </c>
      <c r="E412" t="s">
        <v>246</v>
      </c>
      <c r="F412" t="s">
        <v>1588</v>
      </c>
      <c r="G412" t="s">
        <v>103</v>
      </c>
      <c r="H412" t="b">
        <v>0</v>
      </c>
      <c r="I412" t="s">
        <v>1803</v>
      </c>
      <c r="J412" s="30">
        <f ca="1">YEARFRAC(W412,X412,1)</f>
        <v>69.712520045370994</v>
      </c>
      <c r="K412" t="s">
        <v>1590</v>
      </c>
      <c r="L412" s="32">
        <v>5900</v>
      </c>
      <c r="M412" s="27">
        <v>19910000000000</v>
      </c>
      <c r="N412">
        <v>1957</v>
      </c>
      <c r="O412">
        <v>1</v>
      </c>
      <c r="P412">
        <v>15</v>
      </c>
      <c r="Q412">
        <v>125.08</v>
      </c>
      <c r="R412">
        <v>77</v>
      </c>
      <c r="S412">
        <v>9.4</v>
      </c>
      <c r="T412">
        <v>59.2</v>
      </c>
      <c r="U412">
        <v>1397715000</v>
      </c>
      <c r="V412" s="30"/>
      <c r="W412" s="25">
        <f ca="1">TODAY()</f>
        <v>46297</v>
      </c>
      <c r="X412" s="25">
        <f>DATE(N412,O412,P412)</f>
        <v>20835</v>
      </c>
    </row>
    <row r="413" spans="1:24" x14ac:dyDescent="0.3">
      <c r="A413">
        <v>442</v>
      </c>
      <c r="B413" t="s">
        <v>49</v>
      </c>
      <c r="C413" t="s">
        <v>1591</v>
      </c>
      <c r="D413" t="s">
        <v>32</v>
      </c>
      <c r="E413" t="s">
        <v>203</v>
      </c>
      <c r="F413" t="s">
        <v>802</v>
      </c>
      <c r="G413" t="s">
        <v>49</v>
      </c>
      <c r="H413" t="b">
        <v>1</v>
      </c>
      <c r="I413" t="s">
        <v>1803</v>
      </c>
      <c r="J413" s="30">
        <f ca="1">YEARFRAC(W413,X413,1)</f>
        <v>61.757029246881928</v>
      </c>
      <c r="K413" t="s">
        <v>1593</v>
      </c>
      <c r="L413" s="32">
        <v>5800</v>
      </c>
      <c r="M413" s="27">
        <v>21427700000000</v>
      </c>
      <c r="N413">
        <v>1964</v>
      </c>
      <c r="O413">
        <v>12</v>
      </c>
      <c r="P413">
        <v>29</v>
      </c>
      <c r="Q413">
        <v>117.24</v>
      </c>
      <c r="R413">
        <v>78.5</v>
      </c>
      <c r="S413">
        <v>9.6</v>
      </c>
      <c r="T413">
        <v>36.6</v>
      </c>
      <c r="U413">
        <v>328239523</v>
      </c>
      <c r="V413" s="30"/>
      <c r="W413" s="25">
        <f ca="1">TODAY()</f>
        <v>46297</v>
      </c>
      <c r="X413" s="25">
        <f>DATE(N413,O413,P413)</f>
        <v>23740</v>
      </c>
    </row>
    <row r="414" spans="1:24" x14ac:dyDescent="0.3">
      <c r="A414">
        <v>442</v>
      </c>
      <c r="B414" t="s">
        <v>351</v>
      </c>
      <c r="C414" t="s">
        <v>1594</v>
      </c>
      <c r="D414" t="s">
        <v>1195</v>
      </c>
      <c r="E414" t="s">
        <v>1595</v>
      </c>
      <c r="F414" t="s">
        <v>548</v>
      </c>
      <c r="G414" t="s">
        <v>351</v>
      </c>
      <c r="H414" t="b">
        <v>0</v>
      </c>
      <c r="I414" t="s">
        <v>1803</v>
      </c>
      <c r="J414" s="30">
        <f ca="1">YEARFRAC(W414,X414,1)</f>
        <v>78.937713894592747</v>
      </c>
      <c r="K414" t="s">
        <v>1597</v>
      </c>
      <c r="L414" s="32">
        <v>5800</v>
      </c>
      <c r="M414" s="27">
        <v>348078018464</v>
      </c>
      <c r="N414">
        <v>1947</v>
      </c>
      <c r="O414">
        <v>10</v>
      </c>
      <c r="P414">
        <v>25</v>
      </c>
      <c r="Q414">
        <v>110.35</v>
      </c>
      <c r="R414">
        <v>81</v>
      </c>
      <c r="S414">
        <v>32.4</v>
      </c>
      <c r="T414">
        <v>23.8</v>
      </c>
      <c r="U414">
        <v>5818553</v>
      </c>
      <c r="V414" s="30"/>
      <c r="W414" s="25">
        <f ca="1">TODAY()</f>
        <v>46297</v>
      </c>
      <c r="X414" s="25">
        <f>DATE(N414,O414,P414)</f>
        <v>17465</v>
      </c>
    </row>
    <row r="415" spans="1:24" x14ac:dyDescent="0.3">
      <c r="A415">
        <v>442</v>
      </c>
      <c r="B415" t="s">
        <v>351</v>
      </c>
      <c r="C415" t="s">
        <v>1598</v>
      </c>
      <c r="D415" t="s">
        <v>32</v>
      </c>
      <c r="E415" t="s">
        <v>831</v>
      </c>
      <c r="F415" t="s">
        <v>517</v>
      </c>
      <c r="G415" t="s">
        <v>351</v>
      </c>
      <c r="H415" t="b">
        <v>1</v>
      </c>
      <c r="I415" t="s">
        <v>1803</v>
      </c>
      <c r="J415" s="30">
        <f ca="1">YEARFRAC(W415,X415,1)</f>
        <v>74.175914433817624</v>
      </c>
      <c r="K415" t="s">
        <v>1049</v>
      </c>
      <c r="L415" s="32">
        <v>5800</v>
      </c>
      <c r="M415" s="27">
        <v>21427700000000</v>
      </c>
      <c r="N415">
        <v>1952</v>
      </c>
      <c r="O415">
        <v>7</v>
      </c>
      <c r="P415">
        <v>29</v>
      </c>
      <c r="Q415">
        <v>117.24</v>
      </c>
      <c r="R415">
        <v>78.5</v>
      </c>
      <c r="S415">
        <v>9.6</v>
      </c>
      <c r="T415">
        <v>36.6</v>
      </c>
      <c r="U415">
        <v>328239523</v>
      </c>
      <c r="V415" s="30"/>
      <c r="W415" s="25">
        <f ca="1">TODAY()</f>
        <v>46297</v>
      </c>
      <c r="X415" s="25">
        <f>DATE(N415,O415,P415)</f>
        <v>19204</v>
      </c>
    </row>
    <row r="416" spans="1:24" x14ac:dyDescent="0.3">
      <c r="A416">
        <v>445</v>
      </c>
      <c r="B416" t="s">
        <v>272</v>
      </c>
      <c r="C416" t="s">
        <v>1600</v>
      </c>
      <c r="D416" t="s">
        <v>1601</v>
      </c>
      <c r="E416" t="s">
        <v>1602</v>
      </c>
      <c r="F416" t="s">
        <v>1603</v>
      </c>
      <c r="G416" t="s">
        <v>272</v>
      </c>
      <c r="H416" t="b">
        <v>1</v>
      </c>
      <c r="I416" t="s">
        <v>1803</v>
      </c>
      <c r="J416" s="30">
        <f ca="1">YEARFRAC(W416,X416,1)</f>
        <v>60.03078994614004</v>
      </c>
      <c r="K416" t="s">
        <v>1605</v>
      </c>
      <c r="L416" s="32">
        <v>5700</v>
      </c>
      <c r="M416" s="27">
        <v>153781069118</v>
      </c>
      <c r="N416">
        <v>1966</v>
      </c>
      <c r="O416">
        <v>9</v>
      </c>
      <c r="P416">
        <v>21</v>
      </c>
      <c r="Q416">
        <v>281.66000000000003</v>
      </c>
      <c r="R416">
        <v>71.599999999999994</v>
      </c>
      <c r="S416">
        <v>20.100000000000001</v>
      </c>
      <c r="T416">
        <v>45.2</v>
      </c>
      <c r="U416">
        <v>44385155</v>
      </c>
      <c r="V416" s="30"/>
      <c r="W416" s="25">
        <f ca="1">TODAY()</f>
        <v>46297</v>
      </c>
      <c r="X416" s="25">
        <f>DATE(N416,O416,P416)</f>
        <v>24371</v>
      </c>
    </row>
    <row r="417" spans="1:24" x14ac:dyDescent="0.3">
      <c r="A417">
        <v>445</v>
      </c>
      <c r="B417" t="s">
        <v>351</v>
      </c>
      <c r="C417" t="s">
        <v>1607</v>
      </c>
      <c r="D417" t="s">
        <v>32</v>
      </c>
      <c r="E417" t="s">
        <v>984</v>
      </c>
      <c r="F417" t="s">
        <v>1319</v>
      </c>
      <c r="G417" t="s">
        <v>351</v>
      </c>
      <c r="H417" t="b">
        <v>1</v>
      </c>
      <c r="I417" t="s">
        <v>1803</v>
      </c>
      <c r="J417" s="30">
        <f ca="1">YEARFRAC(W417,X417,1)</f>
        <v>92.047220913801226</v>
      </c>
      <c r="K417" t="s">
        <v>190</v>
      </c>
      <c r="L417" s="32">
        <v>5700</v>
      </c>
      <c r="M417" s="27">
        <v>21427700000000</v>
      </c>
      <c r="N417">
        <v>1934</v>
      </c>
      <c r="O417">
        <v>9</v>
      </c>
      <c r="P417">
        <v>15</v>
      </c>
      <c r="Q417">
        <v>117.24</v>
      </c>
      <c r="R417">
        <v>78.5</v>
      </c>
      <c r="S417">
        <v>9.6</v>
      </c>
      <c r="T417">
        <v>36.6</v>
      </c>
      <c r="U417">
        <v>328239523</v>
      </c>
      <c r="V417" s="30"/>
      <c r="W417" s="25">
        <f ca="1">TODAY()</f>
        <v>46297</v>
      </c>
      <c r="X417" s="25">
        <f>DATE(N417,O417,P417)</f>
        <v>12677</v>
      </c>
    </row>
    <row r="418" spans="1:24" x14ac:dyDescent="0.3">
      <c r="A418">
        <v>445</v>
      </c>
      <c r="B418" t="s">
        <v>292</v>
      </c>
      <c r="C418" t="s">
        <v>1609</v>
      </c>
      <c r="D418" t="s">
        <v>133</v>
      </c>
      <c r="E418" t="s">
        <v>1610</v>
      </c>
      <c r="F418" t="s">
        <v>403</v>
      </c>
      <c r="G418" t="s">
        <v>292</v>
      </c>
      <c r="H418" t="b">
        <v>0</v>
      </c>
      <c r="I418" t="s">
        <v>1803</v>
      </c>
      <c r="J418" s="30">
        <f ca="1">YEARFRAC(W418,X418,1)</f>
        <v>96.750853820316678</v>
      </c>
      <c r="K418" t="s">
        <v>1145</v>
      </c>
      <c r="L418" s="32">
        <v>5700</v>
      </c>
      <c r="M418" s="27">
        <v>1736425629520</v>
      </c>
      <c r="N418">
        <v>1930</v>
      </c>
      <c r="O418">
        <v>1</v>
      </c>
      <c r="P418">
        <v>1</v>
      </c>
      <c r="Q418">
        <v>116.76</v>
      </c>
      <c r="R418">
        <v>81.900000000000006</v>
      </c>
      <c r="S418">
        <v>12.8</v>
      </c>
      <c r="T418">
        <v>24.5</v>
      </c>
      <c r="U418">
        <v>36991981</v>
      </c>
      <c r="V418" s="30"/>
      <c r="W418" s="25">
        <f ca="1">TODAY()</f>
        <v>46297</v>
      </c>
      <c r="X418" s="25">
        <f>DATE(N418,O418,P418)</f>
        <v>10959</v>
      </c>
    </row>
    <row r="419" spans="1:24" x14ac:dyDescent="0.3">
      <c r="A419">
        <v>445</v>
      </c>
      <c r="B419" t="s">
        <v>462</v>
      </c>
      <c r="C419" t="s">
        <v>1612</v>
      </c>
      <c r="D419" t="s">
        <v>497</v>
      </c>
      <c r="E419" t="s">
        <v>498</v>
      </c>
      <c r="F419" t="s">
        <v>1211</v>
      </c>
      <c r="G419" t="s">
        <v>462</v>
      </c>
      <c r="H419" t="b">
        <v>0</v>
      </c>
      <c r="I419" t="s">
        <v>1803</v>
      </c>
      <c r="J419" s="30">
        <f ca="1">YEARFRAC(W419,X419,1)</f>
        <v>75.15947980835044</v>
      </c>
      <c r="K419" t="s">
        <v>1614</v>
      </c>
      <c r="L419" s="32">
        <v>5700</v>
      </c>
      <c r="M419" s="27">
        <v>530832908738</v>
      </c>
      <c r="N419">
        <v>1951</v>
      </c>
      <c r="O419">
        <v>8</v>
      </c>
      <c r="P419">
        <v>5</v>
      </c>
      <c r="Q419">
        <v>110.51</v>
      </c>
      <c r="R419">
        <v>82.5</v>
      </c>
      <c r="S419">
        <v>27.9</v>
      </c>
      <c r="T419">
        <v>49.1</v>
      </c>
      <c r="U419">
        <v>10285453</v>
      </c>
      <c r="V419" s="30"/>
      <c r="W419" s="25">
        <f ca="1">TODAY()</f>
        <v>46297</v>
      </c>
      <c r="X419" s="25">
        <f>DATE(N419,O419,P419)</f>
        <v>18845</v>
      </c>
    </row>
    <row r="420" spans="1:24" x14ac:dyDescent="0.3">
      <c r="A420">
        <v>445</v>
      </c>
      <c r="B420" t="s">
        <v>580</v>
      </c>
      <c r="C420" t="s">
        <v>1615</v>
      </c>
      <c r="D420" t="s">
        <v>170</v>
      </c>
      <c r="E420" t="s">
        <v>1616</v>
      </c>
      <c r="F420" t="s">
        <v>1187</v>
      </c>
      <c r="G420" t="s">
        <v>580</v>
      </c>
      <c r="H420" t="b">
        <v>0</v>
      </c>
      <c r="I420" t="s">
        <v>1803</v>
      </c>
      <c r="J420" s="30">
        <f ca="1">YEARFRAC(W420,X420,1)</f>
        <v>80.792587646076797</v>
      </c>
      <c r="K420" t="s">
        <v>304</v>
      </c>
      <c r="L420" s="32">
        <v>5700</v>
      </c>
      <c r="M420" s="27">
        <v>703082435360</v>
      </c>
      <c r="N420">
        <v>1945</v>
      </c>
      <c r="O420">
        <v>12</v>
      </c>
      <c r="P420">
        <v>17</v>
      </c>
      <c r="Q420">
        <v>99.55</v>
      </c>
      <c r="R420">
        <v>83.6</v>
      </c>
      <c r="S420">
        <v>10.1</v>
      </c>
      <c r="T420">
        <v>28.8</v>
      </c>
      <c r="U420">
        <v>8574832</v>
      </c>
      <c r="V420" s="30"/>
      <c r="W420" s="25">
        <f ca="1">TODAY()</f>
        <v>46297</v>
      </c>
      <c r="X420" s="25">
        <f>DATE(N420,O420,P420)</f>
        <v>16788</v>
      </c>
    </row>
    <row r="421" spans="1:24" x14ac:dyDescent="0.3">
      <c r="A421">
        <v>445</v>
      </c>
      <c r="B421" t="s">
        <v>49</v>
      </c>
      <c r="C421" t="s">
        <v>1618</v>
      </c>
      <c r="D421" t="s">
        <v>32</v>
      </c>
      <c r="E421" t="s">
        <v>61</v>
      </c>
      <c r="F421" t="s">
        <v>264</v>
      </c>
      <c r="G421" t="s">
        <v>49</v>
      </c>
      <c r="H421" t="b">
        <v>0</v>
      </c>
      <c r="I421" t="s">
        <v>1803</v>
      </c>
      <c r="J421" s="30">
        <f ca="1">YEARFRAC(W421,X421,1)</f>
        <v>54.91581108829569</v>
      </c>
      <c r="K421" t="s">
        <v>447</v>
      </c>
      <c r="L421" s="32">
        <v>5700</v>
      </c>
      <c r="M421" s="27">
        <v>21427700000000</v>
      </c>
      <c r="N421">
        <v>1971</v>
      </c>
      <c r="O421">
        <v>11</v>
      </c>
      <c r="P421">
        <v>2</v>
      </c>
      <c r="Q421">
        <v>117.24</v>
      </c>
      <c r="R421">
        <v>78.5</v>
      </c>
      <c r="S421">
        <v>9.6</v>
      </c>
      <c r="T421">
        <v>36.6</v>
      </c>
      <c r="U421">
        <v>328239523</v>
      </c>
      <c r="V421" s="30"/>
      <c r="W421" s="25">
        <f ca="1">TODAY()</f>
        <v>46297</v>
      </c>
      <c r="X421" s="25">
        <f>DATE(N421,O421,P421)</f>
        <v>26239</v>
      </c>
    </row>
    <row r="422" spans="1:24" x14ac:dyDescent="0.3">
      <c r="A422">
        <v>445</v>
      </c>
      <c r="B422" t="s">
        <v>49</v>
      </c>
      <c r="C422" t="s">
        <v>1620</v>
      </c>
      <c r="D422" t="s">
        <v>32</v>
      </c>
      <c r="E422" t="s">
        <v>1621</v>
      </c>
      <c r="F422" t="s">
        <v>264</v>
      </c>
      <c r="G422" t="s">
        <v>49</v>
      </c>
      <c r="H422" t="b">
        <v>0</v>
      </c>
      <c r="I422" t="s">
        <v>1803</v>
      </c>
      <c r="J422" s="30">
        <f ca="1">YEARFRAC(W422,X422,1)</f>
        <v>62.50171657033593</v>
      </c>
      <c r="K422" t="s">
        <v>1622</v>
      </c>
      <c r="L422" s="32">
        <v>5700</v>
      </c>
      <c r="M422" s="27">
        <v>21427700000000</v>
      </c>
      <c r="N422">
        <v>1964</v>
      </c>
      <c r="O422">
        <v>4</v>
      </c>
      <c r="P422">
        <v>1</v>
      </c>
      <c r="Q422">
        <v>117.24</v>
      </c>
      <c r="R422">
        <v>78.5</v>
      </c>
      <c r="S422">
        <v>9.6</v>
      </c>
      <c r="T422">
        <v>36.6</v>
      </c>
      <c r="U422">
        <v>328239523</v>
      </c>
      <c r="V422" s="30"/>
      <c r="W422" s="25">
        <f ca="1">TODAY()</f>
        <v>46297</v>
      </c>
      <c r="X422" s="25">
        <f>DATE(N422,O422,P422)</f>
        <v>23468</v>
      </c>
    </row>
    <row r="423" spans="1:24" x14ac:dyDescent="0.3">
      <c r="A423">
        <v>445</v>
      </c>
      <c r="B423" t="s">
        <v>49</v>
      </c>
      <c r="C423" t="s">
        <v>1623</v>
      </c>
      <c r="D423" t="s">
        <v>32</v>
      </c>
      <c r="E423" t="s">
        <v>61</v>
      </c>
      <c r="F423" t="s">
        <v>264</v>
      </c>
      <c r="G423" t="s">
        <v>49</v>
      </c>
      <c r="H423" t="b">
        <v>0</v>
      </c>
      <c r="I423" t="s">
        <v>1803</v>
      </c>
      <c r="J423" s="30">
        <f ca="1">YEARFRAC(W423,X423,1)</f>
        <v>60.140305206463196</v>
      </c>
      <c r="K423" t="s">
        <v>524</v>
      </c>
      <c r="L423" s="32">
        <v>5700</v>
      </c>
      <c r="M423" s="27">
        <v>21427700000000</v>
      </c>
      <c r="N423">
        <v>1966</v>
      </c>
      <c r="O423">
        <v>8</v>
      </c>
      <c r="P423">
        <v>12</v>
      </c>
      <c r="Q423">
        <v>117.24</v>
      </c>
      <c r="R423">
        <v>78.5</v>
      </c>
      <c r="S423">
        <v>9.6</v>
      </c>
      <c r="T423">
        <v>36.6</v>
      </c>
      <c r="U423">
        <v>328239523</v>
      </c>
      <c r="V423" s="30"/>
      <c r="W423" s="25">
        <f ca="1">TODAY()</f>
        <v>46297</v>
      </c>
      <c r="X423" s="25">
        <f>DATE(N423,O423,P423)</f>
        <v>24331</v>
      </c>
    </row>
    <row r="424" spans="1:24" x14ac:dyDescent="0.3">
      <c r="A424">
        <v>455</v>
      </c>
      <c r="B424" t="s">
        <v>292</v>
      </c>
      <c r="C424" t="s">
        <v>1624</v>
      </c>
      <c r="D424" t="s">
        <v>32</v>
      </c>
      <c r="E424" t="s">
        <v>592</v>
      </c>
      <c r="F424" t="s">
        <v>1625</v>
      </c>
      <c r="G424" t="s">
        <v>292</v>
      </c>
      <c r="H424" t="b">
        <v>0</v>
      </c>
      <c r="I424" t="s">
        <v>1803</v>
      </c>
      <c r="J424" s="30">
        <f ca="1">YEARFRAC(W424,X424,1)</f>
        <v>83.490759753593423</v>
      </c>
      <c r="K424" t="s">
        <v>1627</v>
      </c>
      <c r="L424" s="32">
        <v>5600</v>
      </c>
      <c r="M424" s="27">
        <v>21427700000000</v>
      </c>
      <c r="N424">
        <v>1943</v>
      </c>
      <c r="O424">
        <v>4</v>
      </c>
      <c r="P424">
        <v>6</v>
      </c>
      <c r="Q424">
        <v>117.24</v>
      </c>
      <c r="R424">
        <v>78.5</v>
      </c>
      <c r="S424">
        <v>9.6</v>
      </c>
      <c r="T424">
        <v>36.6</v>
      </c>
      <c r="U424">
        <v>328239523</v>
      </c>
      <c r="V424" s="30"/>
      <c r="W424" s="25">
        <f ca="1">TODAY()</f>
        <v>46297</v>
      </c>
      <c r="X424" s="25">
        <f>DATE(N424,O424,P424)</f>
        <v>15802</v>
      </c>
    </row>
    <row r="425" spans="1:24" x14ac:dyDescent="0.3">
      <c r="A425">
        <v>455</v>
      </c>
      <c r="B425" t="s">
        <v>168</v>
      </c>
      <c r="C425" t="s">
        <v>1628</v>
      </c>
      <c r="D425" t="s">
        <v>105</v>
      </c>
      <c r="E425" t="s">
        <v>246</v>
      </c>
      <c r="F425" t="s">
        <v>383</v>
      </c>
      <c r="G425" t="s">
        <v>168</v>
      </c>
      <c r="H425" t="b">
        <v>1</v>
      </c>
      <c r="I425" t="s">
        <v>1803</v>
      </c>
      <c r="J425" s="30">
        <f ca="1">YEARFRAC(W425,X425,1)</f>
        <v>55.836399442816656</v>
      </c>
      <c r="K425" t="s">
        <v>1630</v>
      </c>
      <c r="L425" s="32">
        <v>5600</v>
      </c>
      <c r="M425" s="27">
        <v>19910000000000</v>
      </c>
      <c r="N425">
        <v>1970</v>
      </c>
      <c r="O425">
        <v>12</v>
      </c>
      <c r="P425">
        <v>1</v>
      </c>
      <c r="Q425">
        <v>125.08</v>
      </c>
      <c r="R425">
        <v>77</v>
      </c>
      <c r="S425">
        <v>9.4</v>
      </c>
      <c r="T425">
        <v>59.2</v>
      </c>
      <c r="U425">
        <v>1397715000</v>
      </c>
      <c r="V425" s="30"/>
      <c r="W425" s="25">
        <f ca="1">TODAY()</f>
        <v>46297</v>
      </c>
      <c r="X425" s="25">
        <f>DATE(N425,O425,P425)</f>
        <v>25903</v>
      </c>
    </row>
    <row r="426" spans="1:24" x14ac:dyDescent="0.3">
      <c r="A426">
        <v>455</v>
      </c>
      <c r="B426" t="s">
        <v>30</v>
      </c>
      <c r="C426" t="s">
        <v>1631</v>
      </c>
      <c r="D426" t="s">
        <v>74</v>
      </c>
      <c r="E426" t="s">
        <v>288</v>
      </c>
      <c r="F426" t="s">
        <v>1632</v>
      </c>
      <c r="G426" t="s">
        <v>30</v>
      </c>
      <c r="H426" t="b">
        <v>0</v>
      </c>
      <c r="I426" t="s">
        <v>1803</v>
      </c>
      <c r="J426" s="30">
        <f ca="1">YEARFRAC(W426,X426,1)</f>
        <v>84.578367583585646</v>
      </c>
      <c r="K426" t="s">
        <v>1634</v>
      </c>
      <c r="L426" s="32">
        <v>5600</v>
      </c>
      <c r="M426" s="27">
        <v>2611000000000</v>
      </c>
      <c r="N426">
        <v>1942</v>
      </c>
      <c r="O426">
        <v>3</v>
      </c>
      <c r="P426">
        <v>5</v>
      </c>
      <c r="Q426">
        <v>180.44</v>
      </c>
      <c r="R426">
        <v>69.400000000000006</v>
      </c>
      <c r="S426">
        <v>11.2</v>
      </c>
      <c r="T426">
        <v>49.7</v>
      </c>
      <c r="U426">
        <v>1366417754</v>
      </c>
      <c r="V426" s="30"/>
      <c r="W426" s="25">
        <f ca="1">TODAY()</f>
        <v>46297</v>
      </c>
      <c r="X426" s="25">
        <f>DATE(N426,O426,P426)</f>
        <v>15405</v>
      </c>
    </row>
    <row r="427" spans="1:24" x14ac:dyDescent="0.3">
      <c r="A427">
        <v>455</v>
      </c>
      <c r="B427" t="s">
        <v>49</v>
      </c>
      <c r="C427" t="s">
        <v>1635</v>
      </c>
      <c r="D427" t="s">
        <v>32</v>
      </c>
      <c r="E427" t="s">
        <v>1636</v>
      </c>
      <c r="F427" t="s">
        <v>264</v>
      </c>
      <c r="G427" t="s">
        <v>49</v>
      </c>
      <c r="H427" t="b">
        <v>1</v>
      </c>
      <c r="I427" t="s">
        <v>1803</v>
      </c>
      <c r="J427" s="30">
        <f ca="1">YEARFRAC(W427,X427,1)</f>
        <v>91.044490075290895</v>
      </c>
      <c r="K427" t="s">
        <v>206</v>
      </c>
      <c r="L427" s="32">
        <v>5600</v>
      </c>
      <c r="M427" s="27">
        <v>21427700000000</v>
      </c>
      <c r="N427">
        <v>1935</v>
      </c>
      <c r="O427">
        <v>9</v>
      </c>
      <c r="P427">
        <v>16</v>
      </c>
      <c r="Q427">
        <v>117.24</v>
      </c>
      <c r="R427">
        <v>78.5</v>
      </c>
      <c r="S427">
        <v>9.6</v>
      </c>
      <c r="T427">
        <v>36.6</v>
      </c>
      <c r="U427">
        <v>328239523</v>
      </c>
      <c r="V427" s="30"/>
      <c r="W427" s="25">
        <f ca="1">TODAY()</f>
        <v>46297</v>
      </c>
      <c r="X427" s="25">
        <f>DATE(N427,O427,P427)</f>
        <v>13043</v>
      </c>
    </row>
    <row r="428" spans="1:24" x14ac:dyDescent="0.3">
      <c r="A428">
        <v>455</v>
      </c>
      <c r="B428" t="s">
        <v>351</v>
      </c>
      <c r="C428" t="s">
        <v>1638</v>
      </c>
      <c r="D428" t="s">
        <v>105</v>
      </c>
      <c r="E428" t="s">
        <v>246</v>
      </c>
      <c r="F428" t="s">
        <v>1639</v>
      </c>
      <c r="G428" t="s">
        <v>351</v>
      </c>
      <c r="H428" t="b">
        <v>1</v>
      </c>
      <c r="I428" t="s">
        <v>1803</v>
      </c>
      <c r="J428" s="30">
        <f ca="1">YEARFRAC(W428,X428,1)</f>
        <v>59.750855578370981</v>
      </c>
      <c r="K428" t="s">
        <v>1640</v>
      </c>
      <c r="L428" s="32">
        <v>5600</v>
      </c>
      <c r="M428" s="27">
        <v>19910000000000</v>
      </c>
      <c r="N428">
        <v>1967</v>
      </c>
      <c r="O428">
        <v>1</v>
      </c>
      <c r="P428">
        <v>1</v>
      </c>
      <c r="Q428">
        <v>125.08</v>
      </c>
      <c r="R428">
        <v>77</v>
      </c>
      <c r="S428">
        <v>9.4</v>
      </c>
      <c r="T428">
        <v>59.2</v>
      </c>
      <c r="U428">
        <v>1397715000</v>
      </c>
      <c r="V428" s="30"/>
      <c r="W428" s="25">
        <f ca="1">TODAY()</f>
        <v>46297</v>
      </c>
      <c r="X428" s="25">
        <f>DATE(N428,O428,P428)</f>
        <v>24473</v>
      </c>
    </row>
    <row r="429" spans="1:24" x14ac:dyDescent="0.3">
      <c r="A429">
        <v>455</v>
      </c>
      <c r="B429" t="s">
        <v>49</v>
      </c>
      <c r="C429" t="s">
        <v>1641</v>
      </c>
      <c r="D429" t="s">
        <v>32</v>
      </c>
      <c r="E429" t="s">
        <v>1642</v>
      </c>
      <c r="F429" t="s">
        <v>1643</v>
      </c>
      <c r="G429" t="s">
        <v>49</v>
      </c>
      <c r="H429" t="b">
        <v>0</v>
      </c>
      <c r="I429" t="s">
        <v>1804</v>
      </c>
      <c r="J429" s="30">
        <f ca="1">YEARFRAC(W429,X429,1)</f>
        <v>68.734425839219114</v>
      </c>
      <c r="K429" t="s">
        <v>1645</v>
      </c>
      <c r="L429" s="32">
        <v>5600</v>
      </c>
      <c r="M429" s="27">
        <v>21427700000000</v>
      </c>
      <c r="N429">
        <v>1958</v>
      </c>
      <c r="O429">
        <v>1</v>
      </c>
      <c r="P429">
        <v>7</v>
      </c>
      <c r="Q429">
        <v>117.24</v>
      </c>
      <c r="R429">
        <v>78.5</v>
      </c>
      <c r="S429">
        <v>9.6</v>
      </c>
      <c r="T429">
        <v>36.6</v>
      </c>
      <c r="U429">
        <v>328239523</v>
      </c>
      <c r="V429" s="30"/>
      <c r="W429" s="25">
        <f ca="1">TODAY()</f>
        <v>46297</v>
      </c>
      <c r="X429" s="25">
        <f>DATE(N429,O429,P429)</f>
        <v>21192</v>
      </c>
    </row>
    <row r="430" spans="1:24" x14ac:dyDescent="0.3">
      <c r="A430">
        <v>455</v>
      </c>
      <c r="B430" t="s">
        <v>381</v>
      </c>
      <c r="C430" t="s">
        <v>1646</v>
      </c>
      <c r="D430" t="s">
        <v>32</v>
      </c>
      <c r="E430" t="s">
        <v>592</v>
      </c>
      <c r="F430" t="s">
        <v>1643</v>
      </c>
      <c r="G430" t="s">
        <v>381</v>
      </c>
      <c r="H430" t="b">
        <v>0</v>
      </c>
      <c r="I430" t="s">
        <v>1803</v>
      </c>
      <c r="J430" s="30">
        <f ca="1">YEARFRAC(W430,X430,1)</f>
        <v>73.017093384638159</v>
      </c>
      <c r="K430" t="s">
        <v>524</v>
      </c>
      <c r="L430" s="32">
        <v>5600</v>
      </c>
      <c r="M430" s="27">
        <v>21427700000000</v>
      </c>
      <c r="N430">
        <v>1953</v>
      </c>
      <c r="O430">
        <v>9</v>
      </c>
      <c r="P430">
        <v>26</v>
      </c>
      <c r="Q430">
        <v>117.24</v>
      </c>
      <c r="R430">
        <v>78.5</v>
      </c>
      <c r="S430">
        <v>9.6</v>
      </c>
      <c r="T430">
        <v>36.6</v>
      </c>
      <c r="U430">
        <v>328239523</v>
      </c>
      <c r="V430" s="30"/>
      <c r="W430" s="25">
        <f ca="1">TODAY()</f>
        <v>46297</v>
      </c>
      <c r="X430" s="25">
        <f>DATE(N430,O430,P430)</f>
        <v>19628</v>
      </c>
    </row>
    <row r="431" spans="1:24" x14ac:dyDescent="0.3">
      <c r="A431">
        <v>455</v>
      </c>
      <c r="B431" t="s">
        <v>196</v>
      </c>
      <c r="C431" t="s">
        <v>1648</v>
      </c>
      <c r="D431" t="s">
        <v>665</v>
      </c>
      <c r="E431" t="s">
        <v>1500</v>
      </c>
      <c r="F431" t="s">
        <v>1649</v>
      </c>
      <c r="G431" t="s">
        <v>196</v>
      </c>
      <c r="H431" t="b">
        <v>1</v>
      </c>
      <c r="I431" t="s">
        <v>1803</v>
      </c>
      <c r="J431" s="30">
        <f ca="1">YEARFRAC(W431,X431,1)</f>
        <v>54.918548939082818</v>
      </c>
      <c r="K431" t="s">
        <v>1651</v>
      </c>
      <c r="L431" s="32">
        <v>5600</v>
      </c>
      <c r="M431" s="27">
        <v>395098666122</v>
      </c>
      <c r="N431">
        <v>1971</v>
      </c>
      <c r="O431">
        <v>11</v>
      </c>
      <c r="P431">
        <v>1</v>
      </c>
      <c r="Q431">
        <v>108.15</v>
      </c>
      <c r="R431">
        <v>82.8</v>
      </c>
      <c r="S431">
        <v>23.1</v>
      </c>
      <c r="T431">
        <v>25.3</v>
      </c>
      <c r="U431">
        <v>9053300</v>
      </c>
      <c r="V431" s="30"/>
      <c r="W431" s="25">
        <f ca="1">TODAY()</f>
        <v>46297</v>
      </c>
      <c r="X431" s="25">
        <f>DATE(N431,O431,P431)</f>
        <v>26238</v>
      </c>
    </row>
    <row r="432" spans="1:24" x14ac:dyDescent="0.3">
      <c r="A432">
        <v>455</v>
      </c>
      <c r="B432" t="s">
        <v>351</v>
      </c>
      <c r="C432" t="s">
        <v>1652</v>
      </c>
      <c r="D432" t="s">
        <v>800</v>
      </c>
      <c r="E432" t="s">
        <v>801</v>
      </c>
      <c r="F432" t="s">
        <v>1653</v>
      </c>
      <c r="G432" t="s">
        <v>351</v>
      </c>
      <c r="H432" t="b">
        <v>1</v>
      </c>
      <c r="I432" t="s">
        <v>1803</v>
      </c>
      <c r="J432" s="30">
        <f ca="1">YEARFRAC(W432,X432,1)</f>
        <v>68.943168928697148</v>
      </c>
      <c r="K432" t="s">
        <v>1655</v>
      </c>
      <c r="L432" s="32">
        <v>5600</v>
      </c>
      <c r="M432" s="27">
        <v>2029000000000</v>
      </c>
      <c r="N432">
        <v>1957</v>
      </c>
      <c r="O432">
        <v>10</v>
      </c>
      <c r="P432">
        <v>23</v>
      </c>
      <c r="Q432">
        <v>115.16</v>
      </c>
      <c r="R432">
        <v>82.6</v>
      </c>
      <c r="S432">
        <v>15.6</v>
      </c>
      <c r="T432">
        <v>33.200000000000003</v>
      </c>
      <c r="U432">
        <v>51709098</v>
      </c>
      <c r="V432" s="30"/>
      <c r="W432" s="25">
        <f ca="1">TODAY()</f>
        <v>46297</v>
      </c>
      <c r="X432" s="25">
        <f>DATE(N432,O432,P432)</f>
        <v>21116</v>
      </c>
    </row>
    <row r="433" spans="1:24" x14ac:dyDescent="0.3">
      <c r="A433">
        <v>455</v>
      </c>
      <c r="B433" t="s">
        <v>30</v>
      </c>
      <c r="C433" t="s">
        <v>1656</v>
      </c>
      <c r="D433" t="s">
        <v>105</v>
      </c>
      <c r="E433" t="s">
        <v>827</v>
      </c>
      <c r="F433" t="s">
        <v>635</v>
      </c>
      <c r="G433" t="s">
        <v>30</v>
      </c>
      <c r="H433" t="b">
        <v>1</v>
      </c>
      <c r="I433" t="s">
        <v>1803</v>
      </c>
      <c r="J433" s="30">
        <f ca="1">YEARFRAC(W433,X433,1)</f>
        <v>62.750858285167965</v>
      </c>
      <c r="K433" t="s">
        <v>1657</v>
      </c>
      <c r="L433" s="32">
        <v>5600</v>
      </c>
      <c r="M433" s="27">
        <v>19910000000000</v>
      </c>
      <c r="N433">
        <v>1964</v>
      </c>
      <c r="O433">
        <v>1</v>
      </c>
      <c r="P433">
        <v>1</v>
      </c>
      <c r="Q433">
        <v>125.08</v>
      </c>
      <c r="R433">
        <v>77</v>
      </c>
      <c r="S433">
        <v>9.4</v>
      </c>
      <c r="T433">
        <v>59.2</v>
      </c>
      <c r="U433">
        <v>1397715000</v>
      </c>
      <c r="V433" s="30"/>
      <c r="W433" s="25">
        <f ca="1">TODAY()</f>
        <v>46297</v>
      </c>
      <c r="X433" s="25">
        <f>DATE(N433,O433,P433)</f>
        <v>23377</v>
      </c>
    </row>
    <row r="434" spans="1:24" x14ac:dyDescent="0.3">
      <c r="A434">
        <v>466</v>
      </c>
      <c r="B434" t="s">
        <v>381</v>
      </c>
      <c r="C434" t="s">
        <v>1658</v>
      </c>
      <c r="D434" t="s">
        <v>32</v>
      </c>
      <c r="E434" t="s">
        <v>1659</v>
      </c>
      <c r="F434" t="s">
        <v>1660</v>
      </c>
      <c r="G434" t="s">
        <v>381</v>
      </c>
      <c r="H434" t="b">
        <v>0</v>
      </c>
      <c r="I434" t="s">
        <v>1803</v>
      </c>
      <c r="J434" s="30">
        <f ca="1">YEARFRAC(W434,X434,1)</f>
        <v>77.260767313700029</v>
      </c>
      <c r="K434" t="s">
        <v>1662</v>
      </c>
      <c r="L434" s="32">
        <v>5500</v>
      </c>
      <c r="M434" s="27">
        <v>21427700000000</v>
      </c>
      <c r="N434">
        <v>1949</v>
      </c>
      <c r="O434">
        <v>6</v>
      </c>
      <c r="P434">
        <v>29</v>
      </c>
      <c r="Q434">
        <v>117.24</v>
      </c>
      <c r="R434">
        <v>78.5</v>
      </c>
      <c r="S434">
        <v>9.6</v>
      </c>
      <c r="T434">
        <v>36.6</v>
      </c>
      <c r="U434">
        <v>328239523</v>
      </c>
      <c r="V434" s="30"/>
      <c r="W434" s="25">
        <f ca="1">TODAY()</f>
        <v>46297</v>
      </c>
      <c r="X434" s="25">
        <f>DATE(N434,O434,P434)</f>
        <v>18078</v>
      </c>
    </row>
    <row r="435" spans="1:24" x14ac:dyDescent="0.3">
      <c r="A435">
        <v>466</v>
      </c>
      <c r="B435" t="s">
        <v>59</v>
      </c>
      <c r="C435" t="s">
        <v>1663</v>
      </c>
      <c r="D435" t="s">
        <v>32</v>
      </c>
      <c r="E435" t="s">
        <v>1664</v>
      </c>
      <c r="F435" t="s">
        <v>985</v>
      </c>
      <c r="G435" t="s">
        <v>59</v>
      </c>
      <c r="H435" t="b">
        <v>0</v>
      </c>
      <c r="I435" t="s">
        <v>1803</v>
      </c>
      <c r="J435" s="30">
        <f ca="1">YEARFRAC(W435,X435,1)</f>
        <v>69.474322368678372</v>
      </c>
      <c r="K435" t="s">
        <v>350</v>
      </c>
      <c r="L435" s="32">
        <v>5500</v>
      </c>
      <c r="M435" s="27">
        <v>21427700000000</v>
      </c>
      <c r="N435">
        <v>1957</v>
      </c>
      <c r="O435">
        <v>4</v>
      </c>
      <c r="P435">
        <v>12</v>
      </c>
      <c r="Q435">
        <v>117.24</v>
      </c>
      <c r="R435">
        <v>78.5</v>
      </c>
      <c r="S435">
        <v>9.6</v>
      </c>
      <c r="T435">
        <v>36.6</v>
      </c>
      <c r="U435">
        <v>328239523</v>
      </c>
      <c r="V435" s="30"/>
      <c r="W435" s="25">
        <f ca="1">TODAY()</f>
        <v>46297</v>
      </c>
      <c r="X435" s="25">
        <f>DATE(N435,O435,P435)</f>
        <v>20922</v>
      </c>
    </row>
    <row r="436" spans="1:24" x14ac:dyDescent="0.3">
      <c r="A436">
        <v>466</v>
      </c>
      <c r="B436" t="s">
        <v>38</v>
      </c>
      <c r="C436" t="s">
        <v>1666</v>
      </c>
      <c r="D436" t="s">
        <v>32</v>
      </c>
      <c r="E436" t="s">
        <v>856</v>
      </c>
      <c r="F436" t="s">
        <v>1667</v>
      </c>
      <c r="G436" t="s">
        <v>38</v>
      </c>
      <c r="H436" t="b">
        <v>1</v>
      </c>
      <c r="I436" t="s">
        <v>1803</v>
      </c>
      <c r="J436" s="30">
        <f ca="1">YEARFRAC(W436,X436,1)</f>
        <v>36.15672635785112</v>
      </c>
      <c r="K436" t="s">
        <v>190</v>
      </c>
      <c r="L436" s="32">
        <v>5500</v>
      </c>
      <c r="M436" s="27">
        <v>21427700000000</v>
      </c>
      <c r="N436">
        <v>1990</v>
      </c>
      <c r="O436">
        <v>8</v>
      </c>
      <c r="P436">
        <v>6</v>
      </c>
      <c r="Q436">
        <v>117.24</v>
      </c>
      <c r="R436">
        <v>78.5</v>
      </c>
      <c r="S436">
        <v>9.6</v>
      </c>
      <c r="T436">
        <v>36.6</v>
      </c>
      <c r="U436">
        <v>328239523</v>
      </c>
      <c r="V436" s="30"/>
      <c r="W436" s="25">
        <f ca="1">TODAY()</f>
        <v>46297</v>
      </c>
      <c r="X436" s="25">
        <f>DATE(N436,O436,P436)</f>
        <v>33091</v>
      </c>
    </row>
    <row r="437" spans="1:24" x14ac:dyDescent="0.3">
      <c r="A437">
        <v>466</v>
      </c>
      <c r="B437" t="s">
        <v>38</v>
      </c>
      <c r="C437" t="s">
        <v>1669</v>
      </c>
      <c r="D437" t="s">
        <v>32</v>
      </c>
      <c r="E437" t="s">
        <v>856</v>
      </c>
      <c r="F437" t="s">
        <v>1670</v>
      </c>
      <c r="G437" t="s">
        <v>38</v>
      </c>
      <c r="H437" t="b">
        <v>1</v>
      </c>
      <c r="I437" t="s">
        <v>1803</v>
      </c>
      <c r="J437" s="30">
        <f ca="1">YEARFRAC(W437,X437,1)</f>
        <v>38.060933660933657</v>
      </c>
      <c r="K437" t="s">
        <v>1049</v>
      </c>
      <c r="L437" s="32">
        <v>5500</v>
      </c>
      <c r="M437" s="27">
        <v>21427700000000</v>
      </c>
      <c r="N437">
        <v>1988</v>
      </c>
      <c r="O437">
        <v>9</v>
      </c>
      <c r="P437">
        <v>9</v>
      </c>
      <c r="Q437">
        <v>117.24</v>
      </c>
      <c r="R437">
        <v>78.5</v>
      </c>
      <c r="S437">
        <v>9.6</v>
      </c>
      <c r="T437">
        <v>36.6</v>
      </c>
      <c r="U437">
        <v>328239523</v>
      </c>
      <c r="V437" s="30"/>
      <c r="W437" s="25">
        <f ca="1">TODAY()</f>
        <v>46297</v>
      </c>
      <c r="X437" s="25">
        <f>DATE(N437,O437,P437)</f>
        <v>32395</v>
      </c>
    </row>
    <row r="438" spans="1:24" x14ac:dyDescent="0.3">
      <c r="A438">
        <v>466</v>
      </c>
      <c r="B438" t="s">
        <v>250</v>
      </c>
      <c r="C438" t="s">
        <v>1671</v>
      </c>
      <c r="D438" t="s">
        <v>32</v>
      </c>
      <c r="E438" t="s">
        <v>1672</v>
      </c>
      <c r="F438" t="s">
        <v>1673</v>
      </c>
      <c r="G438" t="s">
        <v>250</v>
      </c>
      <c r="H438" t="b">
        <v>1</v>
      </c>
      <c r="I438" t="s">
        <v>1803</v>
      </c>
      <c r="J438" s="30">
        <f ca="1">YEARFRAC(W438,X438,1)</f>
        <v>97.479801083980561</v>
      </c>
      <c r="K438" t="s">
        <v>1675</v>
      </c>
      <c r="L438" s="32">
        <v>5500</v>
      </c>
      <c r="M438" s="27">
        <v>21427700000000</v>
      </c>
      <c r="N438">
        <v>1929</v>
      </c>
      <c r="O438">
        <v>4</v>
      </c>
      <c r="P438">
        <v>10</v>
      </c>
      <c r="Q438">
        <v>117.24</v>
      </c>
      <c r="R438">
        <v>78.5</v>
      </c>
      <c r="S438">
        <v>9.6</v>
      </c>
      <c r="T438">
        <v>36.6</v>
      </c>
      <c r="U438">
        <v>328239523</v>
      </c>
      <c r="V438" s="30"/>
      <c r="W438" s="25">
        <f ca="1">TODAY()</f>
        <v>46297</v>
      </c>
      <c r="X438" s="25">
        <f>DATE(N438,O438,P438)</f>
        <v>10693</v>
      </c>
    </row>
    <row r="439" spans="1:24" x14ac:dyDescent="0.3">
      <c r="A439">
        <v>466</v>
      </c>
      <c r="B439" t="s">
        <v>30</v>
      </c>
      <c r="C439" t="s">
        <v>1676</v>
      </c>
      <c r="D439" t="s">
        <v>680</v>
      </c>
      <c r="E439" t="s">
        <v>1677</v>
      </c>
      <c r="F439" t="s">
        <v>418</v>
      </c>
      <c r="G439" t="s">
        <v>30</v>
      </c>
      <c r="H439" t="b">
        <v>0</v>
      </c>
      <c r="I439" t="s">
        <v>1803</v>
      </c>
      <c r="J439" s="30">
        <f ca="1">YEARFRAC(W439,X439,1)</f>
        <v>81.364808013355585</v>
      </c>
      <c r="K439" t="s">
        <v>1679</v>
      </c>
      <c r="L439" s="32">
        <v>5500</v>
      </c>
      <c r="M439" s="27">
        <v>2001244392042</v>
      </c>
      <c r="N439">
        <v>1945</v>
      </c>
      <c r="O439">
        <v>5</v>
      </c>
      <c r="P439">
        <v>22</v>
      </c>
      <c r="Q439">
        <v>110.62</v>
      </c>
      <c r="R439">
        <v>82.9</v>
      </c>
      <c r="S439">
        <v>24.3</v>
      </c>
      <c r="T439">
        <v>59.1</v>
      </c>
      <c r="U439">
        <v>60297396</v>
      </c>
      <c r="V439" s="30"/>
      <c r="W439" s="25">
        <f ca="1">TODAY()</f>
        <v>46297</v>
      </c>
      <c r="X439" s="25">
        <f>DATE(N439,O439,P439)</f>
        <v>16579</v>
      </c>
    </row>
    <row r="440" spans="1:24" x14ac:dyDescent="0.3">
      <c r="A440">
        <v>466</v>
      </c>
      <c r="B440" t="s">
        <v>30</v>
      </c>
      <c r="C440" t="s">
        <v>1680</v>
      </c>
      <c r="D440" t="s">
        <v>32</v>
      </c>
      <c r="E440" t="s">
        <v>742</v>
      </c>
      <c r="F440" t="s">
        <v>1681</v>
      </c>
      <c r="G440" t="s">
        <v>30</v>
      </c>
      <c r="H440" t="b">
        <v>0</v>
      </c>
      <c r="I440" t="s">
        <v>1803</v>
      </c>
      <c r="J440" s="30">
        <f ca="1">YEARFRAC(W440,X440,1)</f>
        <v>61.594789136674763</v>
      </c>
      <c r="K440" t="s">
        <v>1428</v>
      </c>
      <c r="L440" s="32">
        <v>5500</v>
      </c>
      <c r="M440" s="27">
        <v>21427700000000</v>
      </c>
      <c r="N440">
        <v>1965</v>
      </c>
      <c r="O440">
        <v>2</v>
      </c>
      <c r="P440">
        <v>27</v>
      </c>
      <c r="Q440">
        <v>117.24</v>
      </c>
      <c r="R440">
        <v>78.5</v>
      </c>
      <c r="S440">
        <v>9.6</v>
      </c>
      <c r="T440">
        <v>36.6</v>
      </c>
      <c r="U440">
        <v>328239523</v>
      </c>
      <c r="V440" s="30"/>
      <c r="W440" s="25">
        <f ca="1">TODAY()</f>
        <v>46297</v>
      </c>
      <c r="X440" s="25">
        <f>DATE(N440,O440,P440)</f>
        <v>23800</v>
      </c>
    </row>
    <row r="441" spans="1:24" x14ac:dyDescent="0.3">
      <c r="A441">
        <v>466</v>
      </c>
      <c r="B441" t="s">
        <v>72</v>
      </c>
      <c r="C441" t="s">
        <v>1683</v>
      </c>
      <c r="D441" t="s">
        <v>133</v>
      </c>
      <c r="E441" t="s">
        <v>1610</v>
      </c>
      <c r="F441" t="s">
        <v>72</v>
      </c>
      <c r="G441" t="s">
        <v>72</v>
      </c>
      <c r="H441" t="b">
        <v>0</v>
      </c>
      <c r="I441" t="s">
        <v>1803</v>
      </c>
      <c r="J441" s="30">
        <f ca="1">YEARFRAC(W441,X441,1)</f>
        <v>98.534568584070797</v>
      </c>
      <c r="K441" t="s">
        <v>350</v>
      </c>
      <c r="L441" s="32">
        <v>5500</v>
      </c>
      <c r="M441" s="27">
        <v>1736425629520</v>
      </c>
      <c r="N441">
        <v>1928</v>
      </c>
      <c r="O441">
        <v>3</v>
      </c>
      <c r="P441">
        <v>20</v>
      </c>
      <c r="Q441">
        <v>116.76</v>
      </c>
      <c r="R441">
        <v>81.900000000000006</v>
      </c>
      <c r="S441">
        <v>12.8</v>
      </c>
      <c r="T441">
        <v>24.5</v>
      </c>
      <c r="U441">
        <v>36991981</v>
      </c>
      <c r="V441" s="30"/>
      <c r="W441" s="25">
        <f ca="1">TODAY()</f>
        <v>46297</v>
      </c>
      <c r="X441" s="25">
        <f>DATE(N441,O441,P441)</f>
        <v>10307</v>
      </c>
    </row>
    <row r="442" spans="1:24" x14ac:dyDescent="0.3">
      <c r="A442">
        <v>466</v>
      </c>
      <c r="B442" t="s">
        <v>250</v>
      </c>
      <c r="C442" t="s">
        <v>1684</v>
      </c>
      <c r="D442" t="s">
        <v>105</v>
      </c>
      <c r="E442" t="s">
        <v>655</v>
      </c>
      <c r="F442" t="s">
        <v>348</v>
      </c>
      <c r="G442" t="s">
        <v>250</v>
      </c>
      <c r="H442" t="b">
        <v>1</v>
      </c>
      <c r="I442" t="s">
        <v>1803</v>
      </c>
      <c r="J442" s="30">
        <f ca="1">YEARFRAC(W442,X442,1)</f>
        <v>71.589322381930188</v>
      </c>
      <c r="K442" t="s">
        <v>1685</v>
      </c>
      <c r="L442" s="32">
        <v>5500</v>
      </c>
      <c r="M442" s="27">
        <v>19910000000000</v>
      </c>
      <c r="N442">
        <v>1955</v>
      </c>
      <c r="O442">
        <v>3</v>
      </c>
      <c r="P442">
        <v>1</v>
      </c>
      <c r="Q442">
        <v>125.08</v>
      </c>
      <c r="R442">
        <v>77</v>
      </c>
      <c r="S442">
        <v>9.4</v>
      </c>
      <c r="T442">
        <v>59.2</v>
      </c>
      <c r="U442">
        <v>1397715000</v>
      </c>
      <c r="V442" s="30"/>
      <c r="W442" s="25">
        <f ca="1">TODAY()</f>
        <v>46297</v>
      </c>
      <c r="X442" s="25">
        <f>DATE(N442,O442,P442)</f>
        <v>20149</v>
      </c>
    </row>
    <row r="443" spans="1:24" x14ac:dyDescent="0.3">
      <c r="A443">
        <v>466</v>
      </c>
      <c r="B443" t="s">
        <v>351</v>
      </c>
      <c r="C443" t="s">
        <v>1686</v>
      </c>
      <c r="D443" t="s">
        <v>158</v>
      </c>
      <c r="E443" t="s">
        <v>959</v>
      </c>
      <c r="F443" t="s">
        <v>517</v>
      </c>
      <c r="G443" t="s">
        <v>351</v>
      </c>
      <c r="H443" t="b">
        <v>1</v>
      </c>
      <c r="I443" t="s">
        <v>1803</v>
      </c>
      <c r="J443" s="30">
        <f ca="1">YEARFRAC(W443,X443,1)</f>
        <v>85.329215879787341</v>
      </c>
      <c r="K443" t="s">
        <v>1541</v>
      </c>
      <c r="L443" s="32">
        <v>5500</v>
      </c>
      <c r="M443" s="27">
        <v>3845630030824</v>
      </c>
      <c r="N443">
        <v>1941</v>
      </c>
      <c r="O443">
        <v>6</v>
      </c>
      <c r="P443">
        <v>4</v>
      </c>
      <c r="Q443">
        <v>112.85</v>
      </c>
      <c r="R443">
        <v>80.900000000000006</v>
      </c>
      <c r="S443">
        <v>11.5</v>
      </c>
      <c r="T443">
        <v>48.8</v>
      </c>
      <c r="U443">
        <v>83132799</v>
      </c>
      <c r="V443" s="30"/>
      <c r="W443" s="25">
        <f ca="1">TODAY()</f>
        <v>46297</v>
      </c>
      <c r="X443" s="25">
        <f>DATE(N443,O443,P443)</f>
        <v>15131</v>
      </c>
    </row>
    <row r="444" spans="1:24" x14ac:dyDescent="0.3">
      <c r="A444">
        <v>466</v>
      </c>
      <c r="B444" t="s">
        <v>49</v>
      </c>
      <c r="C444" t="s">
        <v>1688</v>
      </c>
      <c r="D444" t="s">
        <v>158</v>
      </c>
      <c r="E444" t="s">
        <v>1689</v>
      </c>
      <c r="F444" t="s">
        <v>517</v>
      </c>
      <c r="G444" t="s">
        <v>49</v>
      </c>
      <c r="H444" t="b">
        <v>0</v>
      </c>
      <c r="I444" t="s">
        <v>1803</v>
      </c>
      <c r="J444" s="30">
        <f ca="1">YEARFRAC(W444,X444,1)</f>
        <v>61.75085007727975</v>
      </c>
      <c r="K444" t="s">
        <v>1691</v>
      </c>
      <c r="L444" s="32">
        <v>5500</v>
      </c>
      <c r="M444" s="27">
        <v>3845630030824</v>
      </c>
      <c r="N444">
        <v>1965</v>
      </c>
      <c r="O444">
        <v>1</v>
      </c>
      <c r="P444">
        <v>1</v>
      </c>
      <c r="Q444">
        <v>112.85</v>
      </c>
      <c r="R444">
        <v>80.900000000000006</v>
      </c>
      <c r="S444">
        <v>11.5</v>
      </c>
      <c r="T444">
        <v>48.8</v>
      </c>
      <c r="U444">
        <v>83132799</v>
      </c>
      <c r="V444" s="30"/>
      <c r="W444" s="25">
        <f ca="1">TODAY()</f>
        <v>46297</v>
      </c>
      <c r="X444" s="25">
        <f>DATE(N444,O444,P444)</f>
        <v>23743</v>
      </c>
    </row>
    <row r="445" spans="1:24" x14ac:dyDescent="0.3">
      <c r="A445">
        <v>466</v>
      </c>
      <c r="B445" t="s">
        <v>250</v>
      </c>
      <c r="C445" t="s">
        <v>1692</v>
      </c>
      <c r="D445" t="s">
        <v>32</v>
      </c>
      <c r="E445" t="s">
        <v>1693</v>
      </c>
      <c r="F445" t="s">
        <v>1171</v>
      </c>
      <c r="G445" t="s">
        <v>250</v>
      </c>
      <c r="H445" t="b">
        <v>1</v>
      </c>
      <c r="I445" t="s">
        <v>1803</v>
      </c>
      <c r="J445" s="30">
        <f ca="1">YEARFRAC(W445,X445,1)</f>
        <v>70.112944896463958</v>
      </c>
      <c r="K445" t="s">
        <v>1694</v>
      </c>
      <c r="L445" s="32">
        <v>5500</v>
      </c>
      <c r="M445" s="27">
        <v>21427700000000</v>
      </c>
      <c r="N445">
        <v>1956</v>
      </c>
      <c r="O445">
        <v>8</v>
      </c>
      <c r="P445">
        <v>21</v>
      </c>
      <c r="Q445">
        <v>117.24</v>
      </c>
      <c r="R445">
        <v>78.5</v>
      </c>
      <c r="S445">
        <v>9.6</v>
      </c>
      <c r="T445">
        <v>36.6</v>
      </c>
      <c r="U445">
        <v>328239523</v>
      </c>
      <c r="V445" s="30"/>
      <c r="W445" s="25">
        <f ca="1">TODAY()</f>
        <v>46297</v>
      </c>
      <c r="X445" s="25">
        <f>DATE(N445,O445,P445)</f>
        <v>20688</v>
      </c>
    </row>
    <row r="446" spans="1:24" x14ac:dyDescent="0.3">
      <c r="A446">
        <v>466</v>
      </c>
      <c r="B446" t="s">
        <v>59</v>
      </c>
      <c r="C446" t="s">
        <v>1695</v>
      </c>
      <c r="D446" t="s">
        <v>32</v>
      </c>
      <c r="E446" t="s">
        <v>1696</v>
      </c>
      <c r="F446" t="s">
        <v>985</v>
      </c>
      <c r="G446" t="s">
        <v>59</v>
      </c>
      <c r="H446" t="b">
        <v>0</v>
      </c>
      <c r="I446" t="s">
        <v>1804</v>
      </c>
      <c r="J446" s="30">
        <f ca="1">YEARFRAC(W446,X446,1)</f>
        <v>81.720734557595989</v>
      </c>
      <c r="K446" t="s">
        <v>1698</v>
      </c>
      <c r="L446" s="32">
        <v>5500</v>
      </c>
      <c r="M446" s="27">
        <v>21427700000000</v>
      </c>
      <c r="N446">
        <v>1945</v>
      </c>
      <c r="O446">
        <v>1</v>
      </c>
      <c r="P446">
        <v>12</v>
      </c>
      <c r="Q446">
        <v>117.24</v>
      </c>
      <c r="R446">
        <v>78.5</v>
      </c>
      <c r="S446">
        <v>9.6</v>
      </c>
      <c r="T446">
        <v>36.6</v>
      </c>
      <c r="U446">
        <v>328239523</v>
      </c>
      <c r="V446" s="30"/>
      <c r="W446" s="25">
        <f ca="1">TODAY()</f>
        <v>46297</v>
      </c>
      <c r="X446" s="25">
        <f>DATE(N446,O446,P446)</f>
        <v>16449</v>
      </c>
    </row>
    <row r="447" spans="1:24" x14ac:dyDescent="0.3">
      <c r="A447">
        <v>466</v>
      </c>
      <c r="B447" t="s">
        <v>49</v>
      </c>
      <c r="C447" t="s">
        <v>1699</v>
      </c>
      <c r="D447" t="s">
        <v>32</v>
      </c>
      <c r="E447" t="s">
        <v>61</v>
      </c>
      <c r="F447" t="s">
        <v>204</v>
      </c>
      <c r="G447" t="s">
        <v>49</v>
      </c>
      <c r="H447" t="b">
        <v>1</v>
      </c>
      <c r="I447" t="s">
        <v>1803</v>
      </c>
      <c r="J447" s="30">
        <f ca="1">YEARFRAC(W447,X447,1)</f>
        <v>82.11020583190394</v>
      </c>
      <c r="K447" t="s">
        <v>1701</v>
      </c>
      <c r="L447" s="32">
        <v>5500</v>
      </c>
      <c r="M447" s="27">
        <v>21427700000000</v>
      </c>
      <c r="N447">
        <v>1944</v>
      </c>
      <c r="O447">
        <v>8</v>
      </c>
      <c r="P447">
        <v>22</v>
      </c>
      <c r="Q447">
        <v>117.24</v>
      </c>
      <c r="R447">
        <v>78.5</v>
      </c>
      <c r="S447">
        <v>9.6</v>
      </c>
      <c r="T447">
        <v>36.6</v>
      </c>
      <c r="U447">
        <v>328239523</v>
      </c>
      <c r="V447" s="30"/>
      <c r="W447" s="25">
        <f ca="1">TODAY()</f>
        <v>46297</v>
      </c>
      <c r="X447" s="25">
        <f>DATE(N447,O447,P447)</f>
        <v>16306</v>
      </c>
    </row>
    <row r="448" spans="1:24" x14ac:dyDescent="0.3">
      <c r="A448">
        <v>466</v>
      </c>
      <c r="B448" t="s">
        <v>351</v>
      </c>
      <c r="C448" t="s">
        <v>1702</v>
      </c>
      <c r="D448" t="s">
        <v>680</v>
      </c>
      <c r="E448" t="s">
        <v>1703</v>
      </c>
      <c r="F448" t="s">
        <v>1704</v>
      </c>
      <c r="G448" t="s">
        <v>351</v>
      </c>
      <c r="H448" t="b">
        <v>1</v>
      </c>
      <c r="I448" t="s">
        <v>1803</v>
      </c>
      <c r="J448" s="30">
        <f ca="1">YEARFRAC(W448,X448,1)</f>
        <v>83.537303216974678</v>
      </c>
      <c r="K448" t="s">
        <v>1706</v>
      </c>
      <c r="L448" s="32">
        <v>5500</v>
      </c>
      <c r="M448" s="27">
        <v>2001244392042</v>
      </c>
      <c r="N448">
        <v>1943</v>
      </c>
      <c r="O448">
        <v>3</v>
      </c>
      <c r="P448">
        <v>20</v>
      </c>
      <c r="Q448">
        <v>110.62</v>
      </c>
      <c r="R448">
        <v>82.9</v>
      </c>
      <c r="S448">
        <v>24.3</v>
      </c>
      <c r="T448">
        <v>59.1</v>
      </c>
      <c r="U448">
        <v>60297396</v>
      </c>
      <c r="V448" s="30"/>
      <c r="W448" s="25">
        <f ca="1">TODAY()</f>
        <v>46297</v>
      </c>
      <c r="X448" s="25">
        <f>DATE(N448,O448,P448)</f>
        <v>15785</v>
      </c>
    </row>
    <row r="449" spans="1:24" x14ac:dyDescent="0.3">
      <c r="A449">
        <v>466</v>
      </c>
      <c r="B449" t="s">
        <v>59</v>
      </c>
      <c r="C449" t="s">
        <v>1707</v>
      </c>
      <c r="D449" t="s">
        <v>32</v>
      </c>
      <c r="E449" t="s">
        <v>1708</v>
      </c>
      <c r="F449" t="s">
        <v>985</v>
      </c>
      <c r="G449" t="s">
        <v>59</v>
      </c>
      <c r="H449" t="b">
        <v>0</v>
      </c>
      <c r="I449" t="s">
        <v>1804</v>
      </c>
      <c r="J449" s="30">
        <f ca="1">YEARFRAC(W449,X449,1)</f>
        <v>84.46611479739741</v>
      </c>
      <c r="K449" t="s">
        <v>1710</v>
      </c>
      <c r="L449" s="32">
        <v>5500</v>
      </c>
      <c r="M449" s="27">
        <v>21427700000000</v>
      </c>
      <c r="N449">
        <v>1942</v>
      </c>
      <c r="O449">
        <v>4</v>
      </c>
      <c r="P449">
        <v>15</v>
      </c>
      <c r="Q449">
        <v>117.24</v>
      </c>
      <c r="R449">
        <v>78.5</v>
      </c>
      <c r="S449">
        <v>9.6</v>
      </c>
      <c r="T449">
        <v>36.6</v>
      </c>
      <c r="U449">
        <v>328239523</v>
      </c>
      <c r="V449" s="30"/>
      <c r="W449" s="25">
        <f ca="1">TODAY()</f>
        <v>46297</v>
      </c>
      <c r="X449" s="25">
        <f>DATE(N449,O449,P449)</f>
        <v>15446</v>
      </c>
    </row>
    <row r="450" spans="1:24" x14ac:dyDescent="0.3">
      <c r="A450">
        <v>466</v>
      </c>
      <c r="B450" t="s">
        <v>38</v>
      </c>
      <c r="C450" t="s">
        <v>1711</v>
      </c>
      <c r="D450" t="s">
        <v>274</v>
      </c>
      <c r="E450" t="s">
        <v>607</v>
      </c>
      <c r="F450" t="s">
        <v>731</v>
      </c>
      <c r="G450" t="s">
        <v>38</v>
      </c>
      <c r="H450" t="b">
        <v>1</v>
      </c>
      <c r="I450" t="s">
        <v>1803</v>
      </c>
      <c r="J450" s="30">
        <f ca="1">YEARFRAC(W450,X450,1)</f>
        <v>71.504449007529089</v>
      </c>
      <c r="K450" t="s">
        <v>925</v>
      </c>
      <c r="L450" s="32">
        <v>5500</v>
      </c>
      <c r="M450" s="27">
        <v>1392680589329</v>
      </c>
      <c r="N450">
        <v>1955</v>
      </c>
      <c r="O450">
        <v>4</v>
      </c>
      <c r="P450">
        <v>1</v>
      </c>
      <c r="Q450">
        <v>119.8</v>
      </c>
      <c r="R450">
        <v>82.7</v>
      </c>
      <c r="S450">
        <v>23</v>
      </c>
      <c r="T450">
        <v>47.4</v>
      </c>
      <c r="U450">
        <v>25766605</v>
      </c>
      <c r="V450" s="30"/>
      <c r="W450" s="25">
        <f ca="1">TODAY()</f>
        <v>46297</v>
      </c>
      <c r="X450" s="25">
        <f>DATE(N450,O450,P450)</f>
        <v>20180</v>
      </c>
    </row>
    <row r="451" spans="1:24" x14ac:dyDescent="0.3">
      <c r="A451">
        <v>466</v>
      </c>
      <c r="B451" t="s">
        <v>72</v>
      </c>
      <c r="C451" t="s">
        <v>1713</v>
      </c>
      <c r="D451" t="s">
        <v>105</v>
      </c>
      <c r="E451" t="s">
        <v>153</v>
      </c>
      <c r="F451" t="s">
        <v>1653</v>
      </c>
      <c r="G451" t="s">
        <v>72</v>
      </c>
      <c r="H451" t="b">
        <v>1</v>
      </c>
      <c r="I451" t="s">
        <v>1804</v>
      </c>
      <c r="J451" s="30">
        <f ca="1">YEARFRAC(W451,X451,1)</f>
        <v>59.750855578370981</v>
      </c>
      <c r="K451" t="s">
        <v>1714</v>
      </c>
      <c r="L451" s="32">
        <v>5500</v>
      </c>
      <c r="M451" s="27">
        <v>19910000000000</v>
      </c>
      <c r="N451">
        <v>1967</v>
      </c>
      <c r="O451">
        <v>1</v>
      </c>
      <c r="P451">
        <v>1</v>
      </c>
      <c r="Q451">
        <v>125.08</v>
      </c>
      <c r="R451">
        <v>77</v>
      </c>
      <c r="S451">
        <v>9.4</v>
      </c>
      <c r="T451">
        <v>59.2</v>
      </c>
      <c r="U451">
        <v>1397715000</v>
      </c>
      <c r="V451" s="30"/>
      <c r="W451" s="25">
        <f ca="1">TODAY()</f>
        <v>46297</v>
      </c>
      <c r="X451" s="25">
        <f>DATE(N451,O451,P451)</f>
        <v>24473</v>
      </c>
    </row>
    <row r="452" spans="1:24" x14ac:dyDescent="0.3">
      <c r="A452">
        <v>486</v>
      </c>
      <c r="B452" t="s">
        <v>21</v>
      </c>
      <c r="C452" t="s">
        <v>1715</v>
      </c>
      <c r="D452" t="s">
        <v>680</v>
      </c>
      <c r="E452" t="s">
        <v>681</v>
      </c>
      <c r="F452" t="s">
        <v>165</v>
      </c>
      <c r="G452" t="s">
        <v>21</v>
      </c>
      <c r="H452" t="b">
        <v>1</v>
      </c>
      <c r="I452" t="s">
        <v>1803</v>
      </c>
      <c r="J452" s="30">
        <f ca="1">YEARFRAC(W452,X452,1)</f>
        <v>80.750853473043762</v>
      </c>
      <c r="K452" t="s">
        <v>1717</v>
      </c>
      <c r="L452" s="32">
        <v>5400</v>
      </c>
      <c r="M452" s="27">
        <v>2001244392042</v>
      </c>
      <c r="N452">
        <v>1946</v>
      </c>
      <c r="O452">
        <v>1</v>
      </c>
      <c r="P452">
        <v>1</v>
      </c>
      <c r="Q452">
        <v>110.62</v>
      </c>
      <c r="R452">
        <v>82.9</v>
      </c>
      <c r="S452">
        <v>24.3</v>
      </c>
      <c r="T452">
        <v>59.1</v>
      </c>
      <c r="U452">
        <v>60297396</v>
      </c>
      <c r="V452" s="30"/>
      <c r="W452" s="25">
        <f ca="1">TODAY()</f>
        <v>46297</v>
      </c>
      <c r="X452" s="25">
        <f>DATE(N452,O452,P452)</f>
        <v>16803</v>
      </c>
    </row>
    <row r="453" spans="1:24" x14ac:dyDescent="0.3">
      <c r="A453">
        <v>486</v>
      </c>
      <c r="B453" t="s">
        <v>250</v>
      </c>
      <c r="C453" t="s">
        <v>1718</v>
      </c>
      <c r="D453" t="s">
        <v>74</v>
      </c>
      <c r="E453" t="s">
        <v>75</v>
      </c>
      <c r="F453" t="s">
        <v>556</v>
      </c>
      <c r="G453" t="s">
        <v>250</v>
      </c>
      <c r="H453" t="b">
        <v>0</v>
      </c>
      <c r="I453" t="s">
        <v>1803</v>
      </c>
      <c r="J453" s="30">
        <f ca="1">YEARFRAC(W453,X453,1)</f>
        <v>85.455159020725219</v>
      </c>
      <c r="K453" t="s">
        <v>1720</v>
      </c>
      <c r="L453" s="32">
        <v>5400</v>
      </c>
      <c r="M453" s="27">
        <v>2611000000000</v>
      </c>
      <c r="N453">
        <v>1941</v>
      </c>
      <c r="O453">
        <v>4</v>
      </c>
      <c r="P453">
        <v>19</v>
      </c>
      <c r="Q453">
        <v>180.44</v>
      </c>
      <c r="R453">
        <v>69.400000000000006</v>
      </c>
      <c r="S453">
        <v>11.2</v>
      </c>
      <c r="T453">
        <v>49.7</v>
      </c>
      <c r="U453">
        <v>1366417754</v>
      </c>
      <c r="V453" s="30"/>
      <c r="W453" s="25">
        <f ca="1">TODAY()</f>
        <v>46297</v>
      </c>
      <c r="X453" s="25">
        <f>DATE(N453,O453,P453)</f>
        <v>15085</v>
      </c>
    </row>
    <row r="454" spans="1:24" x14ac:dyDescent="0.3">
      <c r="A454">
        <v>486</v>
      </c>
      <c r="B454" t="s">
        <v>49</v>
      </c>
      <c r="C454" t="s">
        <v>1721</v>
      </c>
      <c r="D454" t="s">
        <v>32</v>
      </c>
      <c r="E454" t="s">
        <v>1722</v>
      </c>
      <c r="F454" t="s">
        <v>1723</v>
      </c>
      <c r="G454" t="s">
        <v>49</v>
      </c>
      <c r="H454" t="b">
        <v>0</v>
      </c>
      <c r="I454" t="s">
        <v>1803</v>
      </c>
      <c r="J454" s="30">
        <f ca="1">YEARFRAC(W454,X454,1)</f>
        <v>46.73717015203588</v>
      </c>
      <c r="K454" t="s">
        <v>1725</v>
      </c>
      <c r="L454" s="32">
        <v>5400</v>
      </c>
      <c r="M454" s="27">
        <v>21427700000000</v>
      </c>
      <c r="N454">
        <v>1980</v>
      </c>
      <c r="O454">
        <v>1</v>
      </c>
      <c r="P454">
        <v>6</v>
      </c>
      <c r="Q454">
        <v>117.24</v>
      </c>
      <c r="R454">
        <v>78.5</v>
      </c>
      <c r="S454">
        <v>9.6</v>
      </c>
      <c r="T454">
        <v>36.6</v>
      </c>
      <c r="U454">
        <v>328239523</v>
      </c>
      <c r="V454" s="30"/>
      <c r="W454" s="25">
        <f ca="1">TODAY()</f>
        <v>46297</v>
      </c>
      <c r="X454" s="25">
        <f>DATE(N454,O454,P454)</f>
        <v>29226</v>
      </c>
    </row>
    <row r="455" spans="1:24" x14ac:dyDescent="0.3">
      <c r="A455">
        <v>486</v>
      </c>
      <c r="B455" t="s">
        <v>38</v>
      </c>
      <c r="C455" t="s">
        <v>1726</v>
      </c>
      <c r="D455" t="s">
        <v>555</v>
      </c>
      <c r="E455" t="s">
        <v>555</v>
      </c>
      <c r="F455" t="s">
        <v>1568</v>
      </c>
      <c r="G455" t="s">
        <v>38</v>
      </c>
      <c r="H455" t="b">
        <v>1</v>
      </c>
      <c r="I455" t="s">
        <v>1803</v>
      </c>
      <c r="J455" s="30">
        <f ca="1">YEARFRAC(W455,X455,1)</f>
        <v>71.627652292950032</v>
      </c>
      <c r="K455" t="s">
        <v>1728</v>
      </c>
      <c r="L455" s="32">
        <v>5400</v>
      </c>
      <c r="M455" s="27">
        <v>372062527489</v>
      </c>
      <c r="N455">
        <v>1955</v>
      </c>
      <c r="O455">
        <v>2</v>
      </c>
      <c r="P455">
        <v>15</v>
      </c>
      <c r="Q455">
        <v>114.41</v>
      </c>
      <c r="R455">
        <v>83.1</v>
      </c>
      <c r="S455">
        <v>13.1</v>
      </c>
      <c r="T455">
        <v>21</v>
      </c>
      <c r="U455">
        <v>5703569</v>
      </c>
      <c r="V455" s="30"/>
      <c r="W455" s="25">
        <f ca="1">TODAY()</f>
        <v>46297</v>
      </c>
      <c r="X455" s="25">
        <f>DATE(N455,O455,P455)</f>
        <v>20135</v>
      </c>
    </row>
    <row r="456" spans="1:24" x14ac:dyDescent="0.3">
      <c r="A456">
        <v>486</v>
      </c>
      <c r="B456" t="s">
        <v>72</v>
      </c>
      <c r="C456" t="s">
        <v>1729</v>
      </c>
      <c r="D456" t="s">
        <v>105</v>
      </c>
      <c r="E456" t="s">
        <v>1730</v>
      </c>
      <c r="F456" t="s">
        <v>1731</v>
      </c>
      <c r="G456" t="s">
        <v>72</v>
      </c>
      <c r="H456" t="b">
        <v>1</v>
      </c>
      <c r="I456" t="s">
        <v>1803</v>
      </c>
      <c r="J456" s="30">
        <f ca="1">YEARFRAC(W456,X456,1)</f>
        <v>61.75085007727975</v>
      </c>
      <c r="K456" t="s">
        <v>1733</v>
      </c>
      <c r="L456" s="32">
        <v>5400</v>
      </c>
      <c r="M456" s="27">
        <v>19910000000000</v>
      </c>
      <c r="N456">
        <v>1965</v>
      </c>
      <c r="O456">
        <v>1</v>
      </c>
      <c r="P456">
        <v>1</v>
      </c>
      <c r="Q456">
        <v>125.08</v>
      </c>
      <c r="R456">
        <v>77</v>
      </c>
      <c r="S456">
        <v>9.4</v>
      </c>
      <c r="T456">
        <v>59.2</v>
      </c>
      <c r="U456">
        <v>1397715000</v>
      </c>
      <c r="V456" s="30"/>
      <c r="W456" s="25">
        <f ca="1">TODAY()</f>
        <v>46297</v>
      </c>
      <c r="X456" s="25">
        <f>DATE(N456,O456,P456)</f>
        <v>23743</v>
      </c>
    </row>
    <row r="457" spans="1:24" x14ac:dyDescent="0.3">
      <c r="A457">
        <v>486</v>
      </c>
      <c r="B457" t="s">
        <v>250</v>
      </c>
      <c r="C457" t="s">
        <v>1734</v>
      </c>
      <c r="D457" t="s">
        <v>170</v>
      </c>
      <c r="E457" t="s">
        <v>1735</v>
      </c>
      <c r="F457" t="s">
        <v>1736</v>
      </c>
      <c r="G457" t="s">
        <v>250</v>
      </c>
      <c r="H457" t="b">
        <v>1</v>
      </c>
      <c r="I457" t="s">
        <v>1803</v>
      </c>
      <c r="J457" s="30">
        <f ca="1">YEARFRAC(W457,X457,1)</f>
        <v>80.655027885752915</v>
      </c>
      <c r="K457" t="s">
        <v>64</v>
      </c>
      <c r="L457" s="32">
        <v>5400</v>
      </c>
      <c r="M457" s="27">
        <v>703082435360</v>
      </c>
      <c r="N457">
        <v>1946</v>
      </c>
      <c r="O457">
        <v>2</v>
      </c>
      <c r="P457">
        <v>5</v>
      </c>
      <c r="Q457">
        <v>99.55</v>
      </c>
      <c r="R457">
        <v>83.6</v>
      </c>
      <c r="S457">
        <v>10.1</v>
      </c>
      <c r="T457">
        <v>28.8</v>
      </c>
      <c r="U457">
        <v>8574832</v>
      </c>
      <c r="V457" s="30"/>
      <c r="W457" s="25">
        <f ca="1">TODAY()</f>
        <v>46297</v>
      </c>
      <c r="X457" s="25">
        <f>DATE(N457,O457,P457)</f>
        <v>16838</v>
      </c>
    </row>
    <row r="458" spans="1:24" x14ac:dyDescent="0.3">
      <c r="A458">
        <v>486</v>
      </c>
      <c r="B458" t="s">
        <v>21</v>
      </c>
      <c r="C458" t="s">
        <v>1738</v>
      </c>
      <c r="D458" t="s">
        <v>680</v>
      </c>
      <c r="E458" t="s">
        <v>681</v>
      </c>
      <c r="F458" t="s">
        <v>165</v>
      </c>
      <c r="G458" t="s">
        <v>21</v>
      </c>
      <c r="H458" t="b">
        <v>0</v>
      </c>
      <c r="I458" t="s">
        <v>1804</v>
      </c>
      <c r="J458" s="30">
        <f ca="1">YEARFRAC(W458,X458,1)</f>
        <v>77.397662255607429</v>
      </c>
      <c r="K458" t="s">
        <v>1740</v>
      </c>
      <c r="L458" s="32">
        <v>5400</v>
      </c>
      <c r="M458" s="27">
        <v>2001244392042</v>
      </c>
      <c r="N458">
        <v>1949</v>
      </c>
      <c r="O458">
        <v>5</v>
      </c>
      <c r="P458">
        <v>10</v>
      </c>
      <c r="Q458">
        <v>110.62</v>
      </c>
      <c r="R458">
        <v>82.9</v>
      </c>
      <c r="S458">
        <v>24.3</v>
      </c>
      <c r="T458">
        <v>59.1</v>
      </c>
      <c r="U458">
        <v>60297396</v>
      </c>
      <c r="V458" s="30"/>
      <c r="W458" s="25">
        <f ca="1">TODAY()</f>
        <v>46297</v>
      </c>
      <c r="X458" s="25">
        <f>DATE(N458,O458,P458)</f>
        <v>18028</v>
      </c>
    </row>
    <row r="459" spans="1:24" x14ac:dyDescent="0.3">
      <c r="A459">
        <v>486</v>
      </c>
      <c r="B459" t="s">
        <v>21</v>
      </c>
      <c r="C459" t="s">
        <v>1741</v>
      </c>
      <c r="D459" t="s">
        <v>158</v>
      </c>
      <c r="E459" t="s">
        <v>1742</v>
      </c>
      <c r="F459" t="s">
        <v>1743</v>
      </c>
      <c r="G459" t="s">
        <v>21</v>
      </c>
      <c r="H459" t="b">
        <v>0</v>
      </c>
      <c r="I459" t="s">
        <v>1803</v>
      </c>
      <c r="J459" s="30">
        <f ca="1">YEARFRAC(W459,X459,1)</f>
        <v>73.992480105132515</v>
      </c>
      <c r="K459" t="s">
        <v>1541</v>
      </c>
      <c r="L459" s="32">
        <v>5400</v>
      </c>
      <c r="M459" s="27">
        <v>3845630030824</v>
      </c>
      <c r="N459">
        <v>1952</v>
      </c>
      <c r="O459">
        <v>10</v>
      </c>
      <c r="P459">
        <v>4</v>
      </c>
      <c r="Q459">
        <v>112.85</v>
      </c>
      <c r="R459">
        <v>80.900000000000006</v>
      </c>
      <c r="S459">
        <v>11.5</v>
      </c>
      <c r="T459">
        <v>48.8</v>
      </c>
      <c r="U459">
        <v>83132799</v>
      </c>
      <c r="V459" s="30"/>
      <c r="W459" s="25">
        <f ca="1">TODAY()</f>
        <v>46297</v>
      </c>
      <c r="X459" s="25">
        <f>DATE(N459,O459,P459)</f>
        <v>19271</v>
      </c>
    </row>
    <row r="460" spans="1:24" x14ac:dyDescent="0.3">
      <c r="A460">
        <v>486</v>
      </c>
      <c r="B460" t="s">
        <v>21</v>
      </c>
      <c r="C460" t="s">
        <v>1745</v>
      </c>
      <c r="D460" t="s">
        <v>158</v>
      </c>
      <c r="E460" t="s">
        <v>1440</v>
      </c>
      <c r="F460" t="s">
        <v>1743</v>
      </c>
      <c r="G460" t="s">
        <v>21</v>
      </c>
      <c r="H460" t="b">
        <v>0</v>
      </c>
      <c r="I460" t="s">
        <v>1803</v>
      </c>
      <c r="J460" s="30">
        <f ca="1">YEARFRAC(W460,X460,1)</f>
        <v>61.509913888275555</v>
      </c>
      <c r="K460" t="s">
        <v>1747</v>
      </c>
      <c r="L460" s="32">
        <v>5400</v>
      </c>
      <c r="M460" s="27">
        <v>3845630030824</v>
      </c>
      <c r="N460">
        <v>1965</v>
      </c>
      <c r="O460">
        <v>3</v>
      </c>
      <c r="P460">
        <v>30</v>
      </c>
      <c r="Q460">
        <v>112.85</v>
      </c>
      <c r="R460">
        <v>80.900000000000006</v>
      </c>
      <c r="S460">
        <v>11.5</v>
      </c>
      <c r="T460">
        <v>48.8</v>
      </c>
      <c r="U460">
        <v>83132799</v>
      </c>
      <c r="V460" s="30"/>
      <c r="W460" s="25">
        <f ca="1">TODAY()</f>
        <v>46297</v>
      </c>
      <c r="X460" s="25">
        <f>DATE(N460,O460,P460)</f>
        <v>23831</v>
      </c>
    </row>
    <row r="461" spans="1:24" x14ac:dyDescent="0.3">
      <c r="A461">
        <v>486</v>
      </c>
      <c r="B461" t="s">
        <v>21</v>
      </c>
      <c r="C461" t="s">
        <v>1748</v>
      </c>
      <c r="D461" t="s">
        <v>208</v>
      </c>
      <c r="E461" t="s">
        <v>1081</v>
      </c>
      <c r="F461" t="s">
        <v>1743</v>
      </c>
      <c r="G461" t="s">
        <v>21</v>
      </c>
      <c r="H461" t="b">
        <v>0</v>
      </c>
      <c r="I461" t="s">
        <v>1803</v>
      </c>
      <c r="J461" s="30">
        <f ca="1">YEARFRAC(W461,X461,1)</f>
        <v>63.222450376454482</v>
      </c>
      <c r="K461" t="s">
        <v>316</v>
      </c>
      <c r="L461" s="32">
        <v>5400</v>
      </c>
      <c r="M461" s="27">
        <v>446314739528</v>
      </c>
      <c r="N461">
        <v>1963</v>
      </c>
      <c r="O461">
        <v>7</v>
      </c>
      <c r="P461">
        <v>13</v>
      </c>
      <c r="Q461">
        <v>118.06</v>
      </c>
      <c r="R461">
        <v>81.599999999999994</v>
      </c>
      <c r="S461">
        <v>25.4</v>
      </c>
      <c r="T461">
        <v>51.4</v>
      </c>
      <c r="U461">
        <v>8877067</v>
      </c>
      <c r="V461" s="30"/>
      <c r="W461" s="25">
        <f ca="1">TODAY()</f>
        <v>46297</v>
      </c>
      <c r="X461" s="25">
        <f>DATE(N461,O461,P461)</f>
        <v>23205</v>
      </c>
    </row>
    <row r="462" spans="1:24" x14ac:dyDescent="0.3">
      <c r="A462">
        <v>486</v>
      </c>
      <c r="B462" t="s">
        <v>21</v>
      </c>
      <c r="C462" t="s">
        <v>1749</v>
      </c>
      <c r="D462" t="s">
        <v>208</v>
      </c>
      <c r="E462" t="s">
        <v>1081</v>
      </c>
      <c r="F462" t="s">
        <v>1743</v>
      </c>
      <c r="G462" t="s">
        <v>21</v>
      </c>
      <c r="H462" t="b">
        <v>0</v>
      </c>
      <c r="I462" t="s">
        <v>1804</v>
      </c>
      <c r="J462" s="30">
        <f ca="1">YEARFRAC(W462,X462,1)</f>
        <v>74.984257357973988</v>
      </c>
      <c r="K462" t="s">
        <v>1751</v>
      </c>
      <c r="L462" s="32">
        <v>5400</v>
      </c>
      <c r="M462" s="27">
        <v>446314739528</v>
      </c>
      <c r="N462">
        <v>1951</v>
      </c>
      <c r="O462">
        <v>10</v>
      </c>
      <c r="P462">
        <v>8</v>
      </c>
      <c r="Q462">
        <v>118.06</v>
      </c>
      <c r="R462">
        <v>81.599999999999994</v>
      </c>
      <c r="S462">
        <v>25.4</v>
      </c>
      <c r="T462">
        <v>51.4</v>
      </c>
      <c r="U462">
        <v>8877067</v>
      </c>
      <c r="V462" s="30"/>
      <c r="W462" s="25">
        <f ca="1">TODAY()</f>
        <v>46297</v>
      </c>
      <c r="X462" s="25">
        <f>DATE(N462,O462,P462)</f>
        <v>18909</v>
      </c>
    </row>
    <row r="463" spans="1:24" x14ac:dyDescent="0.3">
      <c r="A463">
        <v>497</v>
      </c>
      <c r="B463" t="s">
        <v>49</v>
      </c>
      <c r="C463" t="s">
        <v>1752</v>
      </c>
      <c r="D463" t="s">
        <v>32</v>
      </c>
      <c r="E463" t="s">
        <v>1581</v>
      </c>
      <c r="F463" t="s">
        <v>1584</v>
      </c>
      <c r="G463" t="s">
        <v>49</v>
      </c>
      <c r="H463" t="b">
        <v>1</v>
      </c>
      <c r="I463" t="s">
        <v>1803</v>
      </c>
      <c r="J463" s="30">
        <f ca="1">YEARFRAC(W463,X463,1)</f>
        <v>53.033514171272117</v>
      </c>
      <c r="K463" t="s">
        <v>1754</v>
      </c>
      <c r="L463" s="32">
        <v>5300</v>
      </c>
      <c r="M463" s="27">
        <v>21427700000000</v>
      </c>
      <c r="N463">
        <v>1973</v>
      </c>
      <c r="O463">
        <v>9</v>
      </c>
      <c r="P463">
        <v>20</v>
      </c>
      <c r="Q463">
        <v>117.24</v>
      </c>
      <c r="R463">
        <v>78.5</v>
      </c>
      <c r="S463">
        <v>9.6</v>
      </c>
      <c r="T463">
        <v>36.6</v>
      </c>
      <c r="U463">
        <v>328239523</v>
      </c>
      <c r="V463" s="30"/>
      <c r="W463" s="25">
        <f ca="1">TODAY()</f>
        <v>46297</v>
      </c>
      <c r="X463" s="25">
        <f>DATE(N463,O463,P463)</f>
        <v>26927</v>
      </c>
    </row>
    <row r="464" spans="1:24" x14ac:dyDescent="0.3">
      <c r="A464">
        <v>497</v>
      </c>
      <c r="B464" t="s">
        <v>462</v>
      </c>
      <c r="C464" t="s">
        <v>1755</v>
      </c>
      <c r="D464" t="s">
        <v>32</v>
      </c>
      <c r="E464" t="s">
        <v>831</v>
      </c>
      <c r="F464" t="s">
        <v>465</v>
      </c>
      <c r="G464" t="s">
        <v>462</v>
      </c>
      <c r="H464" t="b">
        <v>1</v>
      </c>
      <c r="I464" t="s">
        <v>1803</v>
      </c>
      <c r="J464" s="30">
        <f ca="1">YEARFRAC(W464,X464,1)</f>
        <v>67.73442847364818</v>
      </c>
      <c r="K464" t="s">
        <v>820</v>
      </c>
      <c r="L464" s="32">
        <v>5300</v>
      </c>
      <c r="M464" s="27">
        <v>21427700000000</v>
      </c>
      <c r="N464">
        <v>1959</v>
      </c>
      <c r="O464">
        <v>1</v>
      </c>
      <c r="P464">
        <v>7</v>
      </c>
      <c r="Q464">
        <v>117.24</v>
      </c>
      <c r="R464">
        <v>78.5</v>
      </c>
      <c r="S464">
        <v>9.6</v>
      </c>
      <c r="T464">
        <v>36.6</v>
      </c>
      <c r="U464">
        <v>328239523</v>
      </c>
      <c r="V464" s="30"/>
      <c r="W464" s="25">
        <f ca="1">TODAY()</f>
        <v>46297</v>
      </c>
      <c r="X464" s="25">
        <f>DATE(N464,O464,P464)</f>
        <v>21557</v>
      </c>
    </row>
    <row r="465" spans="1:24" x14ac:dyDescent="0.3">
      <c r="A465">
        <v>497</v>
      </c>
      <c r="B465" t="s">
        <v>250</v>
      </c>
      <c r="C465" t="s">
        <v>1757</v>
      </c>
      <c r="D465" t="s">
        <v>1758</v>
      </c>
      <c r="E465" t="s">
        <v>1759</v>
      </c>
      <c r="F465" t="s">
        <v>1760</v>
      </c>
      <c r="G465" t="s">
        <v>250</v>
      </c>
      <c r="H465" t="b">
        <v>1</v>
      </c>
      <c r="I465" t="s">
        <v>1803</v>
      </c>
      <c r="J465" s="30">
        <f ca="1">YEARFRAC(W465,X465,1)</f>
        <v>64.017101217303406</v>
      </c>
      <c r="K465" t="s">
        <v>1762</v>
      </c>
      <c r="L465" s="32">
        <v>5300</v>
      </c>
      <c r="M465" s="27">
        <v>754411708203</v>
      </c>
      <c r="N465">
        <v>1962</v>
      </c>
      <c r="O465">
        <v>9</v>
      </c>
      <c r="P465">
        <v>26</v>
      </c>
      <c r="Q465">
        <v>234.44</v>
      </c>
      <c r="R465">
        <v>77.400000000000006</v>
      </c>
      <c r="S465">
        <v>17.899999999999999</v>
      </c>
      <c r="T465">
        <v>42.3</v>
      </c>
      <c r="U465">
        <v>83429615</v>
      </c>
      <c r="V465" s="30"/>
      <c r="W465" s="25">
        <f ca="1">TODAY()</f>
        <v>46297</v>
      </c>
      <c r="X465" s="25">
        <f>DATE(N465,O465,P465)</f>
        <v>22915</v>
      </c>
    </row>
    <row r="466" spans="1:24" x14ac:dyDescent="0.3">
      <c r="A466">
        <v>497</v>
      </c>
      <c r="B466" t="s">
        <v>49</v>
      </c>
      <c r="C466" t="s">
        <v>1764</v>
      </c>
      <c r="D466" t="s">
        <v>32</v>
      </c>
      <c r="E466" t="s">
        <v>1339</v>
      </c>
      <c r="F466" t="s">
        <v>371</v>
      </c>
      <c r="G466" t="s">
        <v>49</v>
      </c>
      <c r="H466" t="b">
        <v>0</v>
      </c>
      <c r="I466" t="s">
        <v>1804</v>
      </c>
      <c r="J466" s="30">
        <f ca="1">YEARFRAC(W466,X466,1)</f>
        <v>63.405886379192332</v>
      </c>
      <c r="K466" t="s">
        <v>874</v>
      </c>
      <c r="L466" s="32">
        <v>5300</v>
      </c>
      <c r="M466" s="27">
        <v>21427700000000</v>
      </c>
      <c r="N466">
        <v>1963</v>
      </c>
      <c r="O466">
        <v>5</v>
      </c>
      <c r="P466">
        <v>7</v>
      </c>
      <c r="Q466">
        <v>117.24</v>
      </c>
      <c r="R466">
        <v>78.5</v>
      </c>
      <c r="S466">
        <v>9.6</v>
      </c>
      <c r="T466">
        <v>36.6</v>
      </c>
      <c r="U466">
        <v>328239523</v>
      </c>
      <c r="V466" s="30"/>
      <c r="W466" s="25">
        <f ca="1">TODAY()</f>
        <v>46297</v>
      </c>
      <c r="X466" s="25">
        <f>DATE(N466,O466,P466)</f>
        <v>23138</v>
      </c>
    </row>
    <row r="467" spans="1:24" x14ac:dyDescent="0.3">
      <c r="A467">
        <v>497</v>
      </c>
      <c r="B467" t="s">
        <v>49</v>
      </c>
      <c r="C467" t="s">
        <v>1765</v>
      </c>
      <c r="D467" t="s">
        <v>32</v>
      </c>
      <c r="E467" t="s">
        <v>503</v>
      </c>
      <c r="F467" t="s">
        <v>922</v>
      </c>
      <c r="G467" t="s">
        <v>49</v>
      </c>
      <c r="H467" t="b">
        <v>1</v>
      </c>
      <c r="I467" t="s">
        <v>1803</v>
      </c>
      <c r="J467" s="30">
        <f ca="1">YEARFRAC(W467,X467,1)</f>
        <v>69.247076309304958</v>
      </c>
      <c r="K467" t="s">
        <v>1508</v>
      </c>
      <c r="L467" s="32">
        <v>5300</v>
      </c>
      <c r="M467" s="27">
        <v>21427700000000</v>
      </c>
      <c r="N467">
        <v>1957</v>
      </c>
      <c r="O467">
        <v>7</v>
      </c>
      <c r="P467">
        <v>4</v>
      </c>
      <c r="Q467">
        <v>117.24</v>
      </c>
      <c r="R467">
        <v>78.5</v>
      </c>
      <c r="S467">
        <v>9.6</v>
      </c>
      <c r="T467">
        <v>36.6</v>
      </c>
      <c r="U467">
        <v>328239523</v>
      </c>
      <c r="V467" s="30"/>
      <c r="W467" s="25">
        <f ca="1">TODAY()</f>
        <v>46297</v>
      </c>
      <c r="X467" s="25">
        <f>DATE(N467,O467,P467)</f>
        <v>21005</v>
      </c>
    </row>
    <row r="468" spans="1:24" x14ac:dyDescent="0.3">
      <c r="A468">
        <v>497</v>
      </c>
      <c r="B468" t="s">
        <v>72</v>
      </c>
      <c r="C468" t="s">
        <v>1767</v>
      </c>
      <c r="D468" t="s">
        <v>294</v>
      </c>
      <c r="E468" t="s">
        <v>295</v>
      </c>
      <c r="F468" t="s">
        <v>1089</v>
      </c>
      <c r="G468" t="s">
        <v>72</v>
      </c>
      <c r="H468" t="b">
        <v>0</v>
      </c>
      <c r="I468" t="s">
        <v>1803</v>
      </c>
      <c r="J468" s="30">
        <f ca="1">YEARFRAC(W468,X468,1)</f>
        <v>82.386726481066106</v>
      </c>
      <c r="K468" t="s">
        <v>1769</v>
      </c>
      <c r="L468" s="32">
        <v>5300</v>
      </c>
      <c r="M468" s="27">
        <v>1119190780753</v>
      </c>
      <c r="N468">
        <v>1944</v>
      </c>
      <c r="O468">
        <v>5</v>
      </c>
      <c r="P468">
        <v>13</v>
      </c>
      <c r="Q468">
        <v>151.18</v>
      </c>
      <c r="R468">
        <v>71.5</v>
      </c>
      <c r="S468">
        <v>10.199999999999999</v>
      </c>
      <c r="T468">
        <v>30.1</v>
      </c>
      <c r="U468">
        <v>270203917</v>
      </c>
      <c r="V468" s="30"/>
      <c r="W468" s="25">
        <f ca="1">TODAY()</f>
        <v>46297</v>
      </c>
      <c r="X468" s="25">
        <f>DATE(N468,O468,P468)</f>
        <v>16205</v>
      </c>
    </row>
    <row r="469" spans="1:24" x14ac:dyDescent="0.3">
      <c r="A469">
        <v>497</v>
      </c>
      <c r="B469" t="s">
        <v>49</v>
      </c>
      <c r="C469" t="s">
        <v>1770</v>
      </c>
      <c r="D469" t="s">
        <v>32</v>
      </c>
      <c r="E469" t="s">
        <v>379</v>
      </c>
      <c r="F469" t="s">
        <v>1643</v>
      </c>
      <c r="G469" t="s">
        <v>49</v>
      </c>
      <c r="H469" t="b">
        <v>0</v>
      </c>
      <c r="I469" t="s">
        <v>1803</v>
      </c>
      <c r="J469" s="30">
        <f ca="1">YEARFRAC(W469,X469,1)</f>
        <v>76.323744844261128</v>
      </c>
      <c r="K469" t="s">
        <v>304</v>
      </c>
      <c r="L469" s="32">
        <v>5300</v>
      </c>
      <c r="M469" s="27">
        <v>21427700000000</v>
      </c>
      <c r="N469">
        <v>1950</v>
      </c>
      <c r="O469">
        <v>6</v>
      </c>
      <c r="P469">
        <v>6</v>
      </c>
      <c r="Q469">
        <v>117.24</v>
      </c>
      <c r="R469">
        <v>78.5</v>
      </c>
      <c r="S469">
        <v>9.6</v>
      </c>
      <c r="T469">
        <v>36.6</v>
      </c>
      <c r="U469">
        <v>328239523</v>
      </c>
      <c r="V469" s="30"/>
      <c r="W469" s="25">
        <f ca="1">TODAY()</f>
        <v>46297</v>
      </c>
      <c r="X469" s="25">
        <f>DATE(N469,O469,P469)</f>
        <v>18420</v>
      </c>
    </row>
    <row r="470" spans="1:24" x14ac:dyDescent="0.3">
      <c r="A470">
        <v>497</v>
      </c>
      <c r="B470" t="s">
        <v>103</v>
      </c>
      <c r="C470" t="s">
        <v>1771</v>
      </c>
      <c r="D470" t="s">
        <v>32</v>
      </c>
      <c r="E470" t="s">
        <v>886</v>
      </c>
      <c r="F470" t="s">
        <v>1183</v>
      </c>
      <c r="G470" t="s">
        <v>103</v>
      </c>
      <c r="H470" t="b">
        <v>1</v>
      </c>
      <c r="I470" t="s">
        <v>1804</v>
      </c>
      <c r="J470" s="30">
        <f ca="1">YEARFRAC(W470,X470,1)</f>
        <v>83.748117727583846</v>
      </c>
      <c r="K470" t="s">
        <v>1773</v>
      </c>
      <c r="L470" s="32">
        <v>5300</v>
      </c>
      <c r="M470" s="27">
        <v>21427700000000</v>
      </c>
      <c r="N470">
        <v>1943</v>
      </c>
      <c r="O470">
        <v>1</v>
      </c>
      <c r="P470">
        <v>2</v>
      </c>
      <c r="Q470">
        <v>117.24</v>
      </c>
      <c r="R470">
        <v>78.5</v>
      </c>
      <c r="S470">
        <v>9.6</v>
      </c>
      <c r="T470">
        <v>36.6</v>
      </c>
      <c r="U470">
        <v>328239523</v>
      </c>
      <c r="V470" s="30"/>
      <c r="W470" s="25">
        <f ca="1">TODAY()</f>
        <v>46297</v>
      </c>
      <c r="X470" s="25">
        <f>DATE(N470,O470,P470)</f>
        <v>15708</v>
      </c>
    </row>
    <row r="471" spans="1:24" x14ac:dyDescent="0.3">
      <c r="A471">
        <v>497</v>
      </c>
      <c r="B471" t="s">
        <v>103</v>
      </c>
      <c r="C471" t="s">
        <v>1774</v>
      </c>
      <c r="D471" t="s">
        <v>32</v>
      </c>
      <c r="E471" t="s">
        <v>886</v>
      </c>
      <c r="F471" t="s">
        <v>1183</v>
      </c>
      <c r="G471" t="s">
        <v>103</v>
      </c>
      <c r="H471" t="b">
        <v>1</v>
      </c>
      <c r="I471" t="s">
        <v>1803</v>
      </c>
      <c r="J471" s="30">
        <f ca="1">YEARFRAC(W471,X471,1)</f>
        <v>89.770714242734215</v>
      </c>
      <c r="K471" t="s">
        <v>1775</v>
      </c>
      <c r="L471" s="32">
        <v>5300</v>
      </c>
      <c r="M471" s="27">
        <v>21427700000000</v>
      </c>
      <c r="N471">
        <v>1936</v>
      </c>
      <c r="O471">
        <v>12</v>
      </c>
      <c r="P471">
        <v>24</v>
      </c>
      <c r="Q471">
        <v>117.24</v>
      </c>
      <c r="R471">
        <v>78.5</v>
      </c>
      <c r="S471">
        <v>9.6</v>
      </c>
      <c r="T471">
        <v>36.6</v>
      </c>
      <c r="U471">
        <v>328239523</v>
      </c>
      <c r="V471" s="30"/>
      <c r="W471" s="25">
        <f ca="1">TODAY()</f>
        <v>46297</v>
      </c>
      <c r="X471" s="25">
        <f>DATE(N471,O471,P471)</f>
        <v>13508</v>
      </c>
    </row>
    <row r="472" spans="1:24" x14ac:dyDescent="0.3">
      <c r="A472">
        <v>497</v>
      </c>
      <c r="B472" t="s">
        <v>381</v>
      </c>
      <c r="C472" t="s">
        <v>1776</v>
      </c>
      <c r="D472" t="s">
        <v>32</v>
      </c>
      <c r="E472" t="s">
        <v>984</v>
      </c>
      <c r="F472" t="s">
        <v>1777</v>
      </c>
      <c r="G472" t="s">
        <v>381</v>
      </c>
      <c r="H472" t="b">
        <v>0</v>
      </c>
      <c r="I472" t="s">
        <v>1803</v>
      </c>
      <c r="J472" s="30">
        <f ca="1">YEARFRAC(W472,X472,1)</f>
        <v>82.088303206227735</v>
      </c>
      <c r="K472" t="s">
        <v>1779</v>
      </c>
      <c r="L472" s="32">
        <v>5300</v>
      </c>
      <c r="M472" s="27">
        <v>21427700000000</v>
      </c>
      <c r="N472">
        <v>1944</v>
      </c>
      <c r="O472">
        <v>8</v>
      </c>
      <c r="P472">
        <v>30</v>
      </c>
      <c r="Q472">
        <v>117.24</v>
      </c>
      <c r="R472">
        <v>78.5</v>
      </c>
      <c r="S472">
        <v>9.6</v>
      </c>
      <c r="T472">
        <v>36.6</v>
      </c>
      <c r="U472">
        <v>328239523</v>
      </c>
      <c r="V472" s="30"/>
      <c r="W472" s="25">
        <f ca="1">TODAY()</f>
        <v>46297</v>
      </c>
      <c r="X472" s="25">
        <f>DATE(N472,O472,P472)</f>
        <v>16314</v>
      </c>
    </row>
    <row r="473" spans="1:24" x14ac:dyDescent="0.3">
      <c r="A473">
        <v>497</v>
      </c>
      <c r="B473" t="s">
        <v>49</v>
      </c>
      <c r="C473" t="s">
        <v>1780</v>
      </c>
      <c r="D473" t="s">
        <v>32</v>
      </c>
      <c r="E473" t="s">
        <v>379</v>
      </c>
      <c r="F473" t="s">
        <v>1781</v>
      </c>
      <c r="G473" t="s">
        <v>49</v>
      </c>
      <c r="H473" t="b">
        <v>1</v>
      </c>
      <c r="I473" t="s">
        <v>1803</v>
      </c>
      <c r="J473" s="30">
        <f ca="1">YEARFRAC(W473,X473,1)</f>
        <v>66.362087283425964</v>
      </c>
      <c r="K473" t="s">
        <v>114</v>
      </c>
      <c r="L473" s="32">
        <v>5300</v>
      </c>
      <c r="M473" s="27">
        <v>21427700000000</v>
      </c>
      <c r="N473">
        <v>1960</v>
      </c>
      <c r="O473">
        <v>5</v>
      </c>
      <c r="P473">
        <v>22</v>
      </c>
      <c r="Q473">
        <v>117.24</v>
      </c>
      <c r="R473">
        <v>78.5</v>
      </c>
      <c r="S473">
        <v>9.6</v>
      </c>
      <c r="T473">
        <v>36.6</v>
      </c>
      <c r="U473">
        <v>328239523</v>
      </c>
      <c r="V473" s="30"/>
      <c r="W473" s="25">
        <f ca="1">TODAY()</f>
        <v>46297</v>
      </c>
      <c r="X473" s="25">
        <f>DATE(N473,O473,P473)</f>
        <v>22058</v>
      </c>
    </row>
    <row r="474" spans="1:24" x14ac:dyDescent="0.3">
      <c r="A474">
        <v>497</v>
      </c>
      <c r="B474" t="s">
        <v>250</v>
      </c>
      <c r="C474" t="s">
        <v>1783</v>
      </c>
      <c r="D474" t="s">
        <v>32</v>
      </c>
      <c r="E474" t="s">
        <v>1784</v>
      </c>
      <c r="F474" t="s">
        <v>1096</v>
      </c>
      <c r="G474" t="s">
        <v>250</v>
      </c>
      <c r="H474" t="b">
        <v>1</v>
      </c>
      <c r="I474" t="s">
        <v>1803</v>
      </c>
      <c r="J474" s="30">
        <f ca="1">YEARFRAC(W474,X474,1)</f>
        <v>85.373022189678778</v>
      </c>
      <c r="K474" t="s">
        <v>1786</v>
      </c>
      <c r="L474" s="32">
        <v>5300</v>
      </c>
      <c r="M474" s="27">
        <v>21427700000000</v>
      </c>
      <c r="N474">
        <v>1941</v>
      </c>
      <c r="O474">
        <v>5</v>
      </c>
      <c r="P474">
        <v>19</v>
      </c>
      <c r="Q474">
        <v>117.24</v>
      </c>
      <c r="R474">
        <v>78.5</v>
      </c>
      <c r="S474">
        <v>9.6</v>
      </c>
      <c r="T474">
        <v>36.6</v>
      </c>
      <c r="U474">
        <v>328239523</v>
      </c>
      <c r="V474" s="30"/>
      <c r="W474" s="25">
        <f ca="1">TODAY()</f>
        <v>46297</v>
      </c>
      <c r="X474" s="25">
        <f>DATE(N474,O474,P474)</f>
        <v>15115</v>
      </c>
    </row>
    <row r="475" spans="1:24" x14ac:dyDescent="0.3">
      <c r="A475">
        <v>497</v>
      </c>
      <c r="B475" t="s">
        <v>103</v>
      </c>
      <c r="C475" t="s">
        <v>1787</v>
      </c>
      <c r="D475" t="s">
        <v>158</v>
      </c>
      <c r="E475" t="s">
        <v>1788</v>
      </c>
      <c r="F475" t="s">
        <v>1789</v>
      </c>
      <c r="G475" t="s">
        <v>103</v>
      </c>
      <c r="H475" t="b">
        <v>1</v>
      </c>
      <c r="I475" t="s">
        <v>1803</v>
      </c>
      <c r="J475" s="30">
        <f ca="1">YEARFRAC(W475,X475,1)</f>
        <v>81.33469115191987</v>
      </c>
      <c r="K475" t="s">
        <v>1791</v>
      </c>
      <c r="L475" s="32">
        <v>5300</v>
      </c>
      <c r="M475" s="27">
        <v>3845630030824</v>
      </c>
      <c r="N475">
        <v>1945</v>
      </c>
      <c r="O475">
        <v>6</v>
      </c>
      <c r="P475">
        <v>2</v>
      </c>
      <c r="Q475">
        <v>112.85</v>
      </c>
      <c r="R475">
        <v>80.900000000000006</v>
      </c>
      <c r="S475">
        <v>11.5</v>
      </c>
      <c r="T475">
        <v>48.8</v>
      </c>
      <c r="U475">
        <v>83132799</v>
      </c>
      <c r="V475" s="30"/>
      <c r="W475" s="25">
        <f ca="1">TODAY()</f>
        <v>46297</v>
      </c>
      <c r="X475" s="25">
        <f>DATE(N475,O475,P475)</f>
        <v>16590</v>
      </c>
    </row>
    <row r="476" spans="1:24" x14ac:dyDescent="0.3">
      <c r="A476">
        <v>497</v>
      </c>
      <c r="B476" t="s">
        <v>21</v>
      </c>
      <c r="C476" t="s">
        <v>1792</v>
      </c>
      <c r="D476" t="s">
        <v>306</v>
      </c>
      <c r="E476" t="s">
        <v>1793</v>
      </c>
      <c r="F476" t="s">
        <v>160</v>
      </c>
      <c r="G476" t="s">
        <v>21</v>
      </c>
      <c r="H476" t="b">
        <v>1</v>
      </c>
      <c r="I476" t="s">
        <v>1803</v>
      </c>
      <c r="J476" s="30">
        <f ca="1">YEARFRAC(W476,X476,1)</f>
        <v>70.880219028062967</v>
      </c>
      <c r="K476" t="s">
        <v>1795</v>
      </c>
      <c r="L476" s="32">
        <v>5300</v>
      </c>
      <c r="M476" s="27">
        <v>421142267938</v>
      </c>
      <c r="N476">
        <v>1955</v>
      </c>
      <c r="O476">
        <v>11</v>
      </c>
      <c r="P476">
        <v>15</v>
      </c>
      <c r="Q476">
        <v>114.52</v>
      </c>
      <c r="R476">
        <v>77.8</v>
      </c>
      <c r="S476">
        <v>0.1</v>
      </c>
      <c r="T476">
        <v>15.9</v>
      </c>
      <c r="U476">
        <v>9770529</v>
      </c>
      <c r="V476" s="30"/>
      <c r="W476" s="25">
        <f ca="1">TODAY()</f>
        <v>46297</v>
      </c>
      <c r="X476" s="25">
        <f>DATE(N476,O476,P476)</f>
        <v>20408</v>
      </c>
    </row>
  </sheetData>
  <pageMargins left="0.7" right="0.7" top="0.75" bottom="0.75" header="0.3" footer="0.3"/>
  <pageSetup paperSize="9" orientation="portrait"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CCCBB-DEA9-4A30-81B9-55D103FAE0BD}">
  <dimension ref="A3"/>
  <sheetViews>
    <sheetView showGridLines="0" tabSelected="1" zoomScale="60" zoomScaleNormal="60" workbookViewId="0">
      <selection activeCell="X33" sqref="X33"/>
    </sheetView>
  </sheetViews>
  <sheetFormatPr defaultRowHeight="15.6" x14ac:dyDescent="0.3"/>
  <cols>
    <col min="1" max="1" width="35.19921875" style="31" customWidth="1"/>
  </cols>
  <sheetData>
    <row r="3" spans="1:1" ht="18" x14ac:dyDescent="0.35">
      <c r="A3" s="33" t="s">
        <v>1813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Props1.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2.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DC1E3D-5B02-4F79-B639-50AB096AD8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Data Backup</vt:lpstr>
      <vt:lpstr>Calc</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Godwill Yeboah</cp:lastModifiedBy>
  <dcterms:created xsi:type="dcterms:W3CDTF">2024-04-01T06:54:26Z</dcterms:created>
  <dcterms:modified xsi:type="dcterms:W3CDTF">2026-10-02T18:04:22Z</dcterms:modified>
</cp:coreProperties>
</file>